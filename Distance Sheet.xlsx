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art\Desktop\"/>
    </mc:Choice>
  </mc:AlternateContent>
  <bookViews>
    <workbookView xWindow="0" yWindow="0" windowWidth="10710" windowHeight="4540" activeTab="3"/>
  </bookViews>
  <sheets>
    <sheet name="Sheet1" sheetId="1" r:id="rId1"/>
    <sheet name="工作表1" sheetId="2" r:id="rId2"/>
    <sheet name="工作表2" sheetId="3" r:id="rId3"/>
    <sheet name="工作表3" sheetId="4" r:id="rId4"/>
    <sheet name="Sheet2" sheetId="5" r:id="rId5"/>
    <sheet name="Sheet4" sheetId="7" r:id="rId6"/>
  </sheets>
  <calcPr calcId="171027"/>
</workbook>
</file>

<file path=xl/calcChain.xml><?xml version="1.0" encoding="utf-8"?>
<calcChain xmlns="http://schemas.openxmlformats.org/spreadsheetml/2006/main">
  <c r="D21" i="4" l="1"/>
  <c r="E21" i="4"/>
  <c r="F21" i="4"/>
  <c r="G21" i="4"/>
  <c r="H21" i="4"/>
  <c r="I21" i="4"/>
  <c r="J21" i="4"/>
  <c r="K21" i="4"/>
  <c r="L21" i="4"/>
  <c r="M21" i="4"/>
  <c r="N21" i="4"/>
  <c r="O21" i="4"/>
  <c r="P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D32" i="4"/>
  <c r="E32" i="4"/>
  <c r="F32" i="4"/>
  <c r="G32" i="4"/>
  <c r="H32" i="4"/>
  <c r="I32" i="4"/>
  <c r="J32" i="4"/>
  <c r="K32" i="4"/>
  <c r="L32" i="4"/>
  <c r="M32" i="4"/>
  <c r="N32" i="4"/>
  <c r="O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E20" i="4"/>
  <c r="F20" i="4"/>
  <c r="G20" i="4"/>
  <c r="H20" i="4"/>
  <c r="I20" i="4"/>
  <c r="J20" i="4"/>
  <c r="K20" i="4"/>
  <c r="L20" i="4"/>
  <c r="M20" i="4"/>
  <c r="N20" i="4"/>
  <c r="O20" i="4"/>
  <c r="P20" i="4"/>
  <c r="D20" i="4"/>
  <c r="H26" i="3" l="1"/>
  <c r="H27" i="3"/>
  <c r="H28" i="3"/>
  <c r="H29" i="3"/>
  <c r="H30" i="3"/>
  <c r="B30" i="3"/>
  <c r="B29" i="3"/>
  <c r="B28" i="3"/>
  <c r="B27" i="3"/>
  <c r="H31" i="3"/>
  <c r="B24" i="3"/>
  <c r="B22" i="3"/>
  <c r="B20" i="3"/>
  <c r="B16" i="3"/>
  <c r="B14" i="3"/>
  <c r="B13" i="3"/>
  <c r="B12" i="3"/>
  <c r="B11" i="3"/>
  <c r="B7" i="3"/>
  <c r="B5" i="3"/>
  <c r="B4" i="3"/>
  <c r="B3" i="3"/>
  <c r="E31" i="2"/>
  <c r="C31" i="2"/>
  <c r="H26" i="2" s="1"/>
  <c r="H5" i="2" l="1"/>
  <c r="H14" i="2"/>
  <c r="H23" i="2"/>
  <c r="H11" i="2"/>
  <c r="H21" i="2"/>
  <c r="H15" i="2"/>
  <c r="H24" i="2"/>
  <c r="H20" i="2"/>
  <c r="H3" i="2"/>
  <c r="H13" i="2"/>
  <c r="H6" i="2"/>
  <c r="H16" i="2"/>
  <c r="H8" i="2"/>
  <c r="H17" i="2"/>
  <c r="H27" i="2"/>
  <c r="H29" i="2"/>
  <c r="H12" i="2"/>
  <c r="H4" i="2"/>
  <c r="H22" i="2"/>
  <c r="H7" i="2"/>
  <c r="H25" i="2"/>
  <c r="H9" i="2"/>
  <c r="H19" i="2"/>
  <c r="H28" i="2"/>
  <c r="B31" i="3"/>
  <c r="H2" i="2"/>
  <c r="H10" i="2"/>
  <c r="H18" i="2"/>
  <c r="C31" i="3"/>
  <c r="D3" i="3" s="1"/>
  <c r="D16" i="3" l="1"/>
  <c r="D4" i="3"/>
  <c r="D20" i="3"/>
  <c r="D29" i="3"/>
  <c r="D5" i="3"/>
  <c r="D22" i="3"/>
  <c r="D7" i="3"/>
  <c r="D24" i="3"/>
  <c r="D30" i="3"/>
  <c r="D14" i="3"/>
  <c r="D11" i="3"/>
  <c r="D12" i="3"/>
  <c r="D27" i="3"/>
  <c r="D28" i="3"/>
  <c r="D13" i="3"/>
</calcChain>
</file>

<file path=xl/sharedStrings.xml><?xml version="1.0" encoding="utf-8"?>
<sst xmlns="http://schemas.openxmlformats.org/spreadsheetml/2006/main" count="1137" uniqueCount="69">
  <si>
    <t>x(0)</t>
  </si>
  <si>
    <t>From - To</t>
  </si>
  <si>
    <t>GDP/ Per capital-2016</t>
  </si>
  <si>
    <t>Total population</t>
  </si>
  <si>
    <t>Quota function</t>
  </si>
  <si>
    <t>Austria</t>
  </si>
  <si>
    <t>Bulgaria</t>
  </si>
  <si>
    <t>No. of refugees</t>
  </si>
  <si>
    <t>Proportion used</t>
  </si>
  <si>
    <t>Greece</t>
  </si>
  <si>
    <t>Hungary</t>
  </si>
  <si>
    <t>Italy</t>
  </si>
  <si>
    <t>Lithuania</t>
  </si>
  <si>
    <t>Poland</t>
  </si>
  <si>
    <t>Romania</t>
  </si>
  <si>
    <t>Spain</t>
  </si>
  <si>
    <t>Quota</t>
  </si>
  <si>
    <t>Belgium</t>
  </si>
  <si>
    <t>Croatia</t>
  </si>
  <si>
    <t>Czech</t>
  </si>
  <si>
    <t>Denmark</t>
  </si>
  <si>
    <t>Estonia</t>
  </si>
  <si>
    <t>Finland</t>
  </si>
  <si>
    <t>France</t>
  </si>
  <si>
    <t>Germany</t>
  </si>
  <si>
    <t>Ireland</t>
  </si>
  <si>
    <t>Libya</t>
  </si>
  <si>
    <t>Morocco</t>
  </si>
  <si>
    <t>Latvia</t>
  </si>
  <si>
    <t>Serbia</t>
  </si>
  <si>
    <t>Czech Rep</t>
  </si>
  <si>
    <t>Luxembourg</t>
  </si>
  <si>
    <t>Turkey</t>
  </si>
  <si>
    <t>Ukraine/Belarus</t>
  </si>
  <si>
    <t>Netherlands</t>
  </si>
  <si>
    <t>Norway</t>
  </si>
  <si>
    <t>Distance in KM</t>
  </si>
  <si>
    <t>Portugal</t>
  </si>
  <si>
    <t>Slovakia</t>
  </si>
  <si>
    <t>refugees leaving</t>
  </si>
  <si>
    <t>each month</t>
  </si>
  <si>
    <t>Slovenia</t>
  </si>
  <si>
    <t>Sweden</t>
  </si>
  <si>
    <t>Switzland</t>
  </si>
  <si>
    <t>UK</t>
  </si>
  <si>
    <t>Ukraine</t>
  </si>
  <si>
    <t>Switzerland</t>
  </si>
  <si>
    <t>Sum of GDP</t>
  </si>
  <si>
    <t>Total Ppl</t>
  </si>
  <si>
    <t>Total Area</t>
  </si>
  <si>
    <t xml:space="preserve"># of country </t>
  </si>
  <si>
    <t>quota</t>
  </si>
  <si>
    <t>refugeeentering</t>
  </si>
  <si>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</si>
  <si>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</si>
  <si>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</si>
  <si>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</si>
  <si>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</si>
  <si>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</si>
  <si>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</si>
  <si>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</si>
  <si>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</si>
  <si>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</si>
  <si>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</si>
  <si>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</si>
  <si>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</si>
  <si>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Percentage</t>
  </si>
  <si>
    <t># of refugees</t>
  </si>
  <si>
    <t>Total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</si>
</sst>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2"/>
      <color rgb="FF000000"/>
      <name val="Calibri"/>
    </font>
    <font>
      <sz val="12"/>
      <name val="Calibri"/>
    </font>
    <font>
      <sz val="16"/>
      <color rgb="FF000000"/>
      <name val="Calibri"/>
    </font>
    <font>
      <b/>
      <sz val="16"/>
      <color rgb="FF000000"/>
      <name val="Calibri"/>
    </font>
    <font>
      <b/>
      <sz val="14"/>
      <name val="Arial"/>
    </font>
    <font>
      <b/>
      <sz val="16"/>
      <color rgb="FF000000"/>
      <name val="Microsoft YaHei"/>
    </font>
    <font>
      <b/>
      <sz val="12"/>
      <color rgb="FF000000"/>
      <name val="Calibri"/>
    </font>
    <font>
      <sz val="12"/>
      <color rgb="FFFFFFFF"/>
      <name val="Calibri"/>
    </font>
    <font>
      <sz val="11"/>
      <color rgb="FF000000"/>
      <name val="Calibri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E598"/>
        <bgColor rgb="FFFFE598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/>
    <xf numFmtId="0" fontId="3" fillId="0" borderId="1" xfId="0" applyFont="1" applyBorder="1"/>
    <xf numFmtId="9" fontId="1" fillId="0" borderId="0" xfId="0" applyNumberFormat="1" applyFont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0" fillId="0" borderId="0" xfId="0" applyFont="1"/>
    <xf numFmtId="0" fontId="5" fillId="0" borderId="1" xfId="0" applyFont="1" applyBorder="1"/>
    <xf numFmtId="0" fontId="6" fillId="0" borderId="0" xfId="0" applyFont="1"/>
    <xf numFmtId="0" fontId="7" fillId="2" borderId="0" xfId="0" applyFont="1" applyFill="1" applyAlignment="1"/>
    <xf numFmtId="0" fontId="3" fillId="0" borderId="0" xfId="0" applyFont="1"/>
    <xf numFmtId="0" fontId="8" fillId="0" borderId="0" xfId="0" applyFont="1" applyAlignment="1"/>
    <xf numFmtId="0" fontId="4" fillId="0" borderId="0" xfId="0" applyFont="1" applyAlignment="1"/>
    <xf numFmtId="0" fontId="8" fillId="0" borderId="0" xfId="0" applyFont="1" applyAlignment="1">
      <alignment horizontal="right"/>
    </xf>
    <xf numFmtId="0" fontId="8" fillId="3" borderId="0" xfId="0" applyFont="1" applyFill="1" applyAlignment="1"/>
    <xf numFmtId="0" fontId="3" fillId="0" borderId="0" xfId="0" applyFont="1" applyAlignment="1"/>
    <xf numFmtId="0" fontId="1" fillId="0" borderId="0" xfId="0" applyFont="1" applyAlignment="1"/>
    <xf numFmtId="0" fontId="8" fillId="4" borderId="0" xfId="0" applyFont="1" applyFill="1" applyAlignment="1">
      <alignment horizontal="right"/>
    </xf>
    <xf numFmtId="0" fontId="9" fillId="0" borderId="0" xfId="0" applyFont="1" applyAlignment="1"/>
    <xf numFmtId="0" fontId="10" fillId="0" borderId="0" xfId="0" applyFont="1" applyAlignment="1"/>
    <xf numFmtId="0" fontId="8" fillId="0" borderId="0" xfId="0" applyFont="1" applyBorder="1" applyAlignment="1">
      <alignment horizontal="right"/>
    </xf>
    <xf numFmtId="0" fontId="8" fillId="3" borderId="0" xfId="0" applyFont="1" applyFill="1" applyBorder="1" applyAlignment="1"/>
    <xf numFmtId="0" fontId="8" fillId="4" borderId="0" xfId="0" applyFont="1" applyFill="1" applyBorder="1" applyAlignment="1">
      <alignment horizontal="right"/>
    </xf>
    <xf numFmtId="0" fontId="8" fillId="0" borderId="0" xfId="0" applyFont="1" applyBorder="1" applyAlignment="1"/>
    <xf numFmtId="0" fontId="0" fillId="0" borderId="0" xfId="0" applyFont="1" applyBorder="1" applyAlignment="1"/>
    <xf numFmtId="0" fontId="9" fillId="0" borderId="0" xfId="0" applyFont="1" applyAlignment="1">
      <alignment horizontal="right"/>
    </xf>
    <xf numFmtId="0" fontId="11" fillId="0" borderId="0" xfId="0" applyFont="1" applyAlignment="1"/>
    <xf numFmtId="0" fontId="12" fillId="0" borderId="0" xfId="0" applyFont="1" applyAlignme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BDBDBD"/>
          <bgColor rgb="FFBDBDBD"/>
        </patternFill>
      </fill>
      <border>
        <left/>
        <right/>
        <top/>
        <bottom/>
      </border>
    </dxf>
  </dxfs>
  <tableStyles count="1">
    <tableStyle name="Sheet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95"/>
  <sheetViews>
    <sheetView topLeftCell="A4" zoomScale="50" zoomScaleNormal="50" workbookViewId="0">
      <selection activeCell="A37" sqref="A37"/>
    </sheetView>
  </sheetViews>
  <sheetFormatPr defaultColWidth="13.4140625" defaultRowHeight="15" customHeight="1" x14ac:dyDescent="0.35"/>
  <cols>
    <col min="1" max="1" width="17.08203125" customWidth="1"/>
    <col min="2" max="7" width="10.58203125" customWidth="1"/>
    <col min="8" max="8" width="10.6640625" customWidth="1"/>
    <col min="9" max="14" width="10.58203125" customWidth="1"/>
    <col min="15" max="15" width="10.5" customWidth="1"/>
    <col min="16" max="25" width="10.58203125" customWidth="1"/>
  </cols>
  <sheetData>
    <row r="1" spans="1:22" ht="21" customHeight="1" x14ac:dyDescent="0.5">
      <c r="A1" s="2" t="s">
        <v>1</v>
      </c>
      <c r="B1" s="4" t="s">
        <v>6</v>
      </c>
      <c r="C1" s="5" t="s">
        <v>9</v>
      </c>
      <c r="D1" s="4" t="s">
        <v>10</v>
      </c>
      <c r="E1" s="5"/>
      <c r="O1" s="9"/>
    </row>
    <row r="2" spans="1:22" ht="21" customHeight="1" x14ac:dyDescent="0.5">
      <c r="A2" s="5" t="s">
        <v>26</v>
      </c>
      <c r="B2" s="2">
        <v>0</v>
      </c>
      <c r="C2" s="2">
        <v>1481</v>
      </c>
      <c r="D2" s="2">
        <v>0</v>
      </c>
      <c r="E2" s="2"/>
      <c r="O2" s="9"/>
    </row>
    <row r="3" spans="1:22" ht="21" customHeight="1" x14ac:dyDescent="0.5">
      <c r="A3" s="4" t="s">
        <v>27</v>
      </c>
      <c r="B3" s="2">
        <v>0</v>
      </c>
      <c r="C3" s="2">
        <v>0</v>
      </c>
      <c r="D3" s="2">
        <v>0</v>
      </c>
      <c r="E3" s="2"/>
      <c r="O3" s="9"/>
    </row>
    <row r="4" spans="1:22" ht="21" customHeight="1" x14ac:dyDescent="0.5">
      <c r="A4" s="4" t="s">
        <v>29</v>
      </c>
      <c r="B4" s="2">
        <v>512</v>
      </c>
      <c r="C4" s="2">
        <v>756</v>
      </c>
      <c r="D4" s="2">
        <v>433</v>
      </c>
      <c r="E4" s="2"/>
      <c r="O4" s="9"/>
    </row>
    <row r="5" spans="1:22" ht="21" customHeight="1" x14ac:dyDescent="0.5">
      <c r="A5" s="5" t="s">
        <v>32</v>
      </c>
      <c r="B5" s="2">
        <v>921</v>
      </c>
      <c r="C5" s="2">
        <v>1159</v>
      </c>
      <c r="D5" s="2">
        <v>1122</v>
      </c>
      <c r="E5" s="2"/>
      <c r="O5" s="9"/>
    </row>
    <row r="6" spans="1:22" ht="21" customHeight="1" x14ac:dyDescent="0.5">
      <c r="A6" s="4" t="s">
        <v>33</v>
      </c>
      <c r="B6" s="2">
        <v>0</v>
      </c>
      <c r="C6" s="2">
        <v>0</v>
      </c>
      <c r="D6" s="2">
        <v>1057</v>
      </c>
      <c r="E6" s="2"/>
      <c r="O6" s="9"/>
    </row>
    <row r="7" spans="1:22" ht="15.75" customHeight="1" x14ac:dyDescent="0.35">
      <c r="A7" s="11"/>
      <c r="H7" s="9"/>
      <c r="O7" s="9"/>
    </row>
    <row r="8" spans="1:22" ht="15.75" customHeight="1" x14ac:dyDescent="0.35">
      <c r="H8" s="9"/>
      <c r="O8" s="9"/>
    </row>
    <row r="9" spans="1:22" ht="15.75" customHeight="1" x14ac:dyDescent="0.35">
      <c r="A9" s="12" t="s">
        <v>36</v>
      </c>
      <c r="N9" s="9"/>
    </row>
    <row r="10" spans="1:22" ht="21" customHeight="1" x14ac:dyDescent="0.35">
      <c r="B10" s="14" t="s">
        <v>5</v>
      </c>
      <c r="C10" s="14" t="s">
        <v>17</v>
      </c>
      <c r="D10" s="14" t="s">
        <v>6</v>
      </c>
      <c r="E10" s="14" t="s">
        <v>19</v>
      </c>
      <c r="F10" s="14" t="s">
        <v>23</v>
      </c>
      <c r="G10" s="14" t="s">
        <v>24</v>
      </c>
      <c r="H10" t="s">
        <v>9</v>
      </c>
      <c r="I10" s="14" t="s">
        <v>10</v>
      </c>
      <c r="J10" s="14" t="s">
        <v>11</v>
      </c>
      <c r="K10" s="14" t="s">
        <v>34</v>
      </c>
      <c r="L10" s="14" t="s">
        <v>13</v>
      </c>
      <c r="M10" s="14" t="s">
        <v>14</v>
      </c>
      <c r="N10" s="14" t="s">
        <v>15</v>
      </c>
      <c r="O10" s="14" t="s">
        <v>42</v>
      </c>
      <c r="P10" s="14" t="s">
        <v>43</v>
      </c>
      <c r="Q10" s="14" t="s">
        <v>44</v>
      </c>
      <c r="R10" s="14" t="s">
        <v>26</v>
      </c>
      <c r="S10" s="14" t="s">
        <v>27</v>
      </c>
      <c r="T10" s="14" t="s">
        <v>29</v>
      </c>
      <c r="U10" s="14" t="s">
        <v>32</v>
      </c>
      <c r="V10" s="14" t="s">
        <v>45</v>
      </c>
    </row>
    <row r="11" spans="1:22" ht="15" customHeight="1" x14ac:dyDescent="0.35">
      <c r="A11" s="14" t="s">
        <v>5</v>
      </c>
      <c r="B11" s="16">
        <v>999999</v>
      </c>
      <c r="C11" s="16">
        <v>999999</v>
      </c>
      <c r="D11" s="16">
        <v>999999</v>
      </c>
      <c r="E11" s="17">
        <v>368</v>
      </c>
      <c r="F11" s="16">
        <v>999999</v>
      </c>
      <c r="G11" s="17">
        <v>688</v>
      </c>
      <c r="H11" s="16">
        <v>999999</v>
      </c>
      <c r="I11" s="17">
        <v>470</v>
      </c>
      <c r="J11" s="17">
        <v>936</v>
      </c>
      <c r="K11" s="16">
        <v>999999</v>
      </c>
      <c r="L11" s="16">
        <v>999999</v>
      </c>
      <c r="M11" s="16">
        <v>999999</v>
      </c>
      <c r="N11" s="16">
        <v>999999</v>
      </c>
      <c r="O11" s="16">
        <v>999999</v>
      </c>
      <c r="P11" s="17">
        <v>694</v>
      </c>
      <c r="Q11" s="16">
        <v>999999</v>
      </c>
      <c r="R11" s="16">
        <v>999999</v>
      </c>
      <c r="S11" s="16">
        <v>999999</v>
      </c>
      <c r="T11" s="16">
        <v>999999</v>
      </c>
      <c r="U11" s="16">
        <v>999999</v>
      </c>
      <c r="V11" s="16">
        <v>999999</v>
      </c>
    </row>
    <row r="12" spans="1:22" ht="15.75" customHeight="1" x14ac:dyDescent="0.35">
      <c r="A12" s="14" t="s">
        <v>17</v>
      </c>
      <c r="B12" s="16">
        <v>999999</v>
      </c>
      <c r="C12" s="16">
        <v>999999</v>
      </c>
      <c r="D12" s="16">
        <v>999999</v>
      </c>
      <c r="E12" s="16">
        <v>999999</v>
      </c>
      <c r="F12" s="17">
        <v>660</v>
      </c>
      <c r="G12" s="17">
        <v>540</v>
      </c>
      <c r="H12" s="16">
        <v>999999</v>
      </c>
      <c r="I12" s="16">
        <v>999999</v>
      </c>
      <c r="J12" s="16">
        <v>999999</v>
      </c>
      <c r="K12" s="17">
        <v>230</v>
      </c>
      <c r="L12" s="16">
        <v>999999</v>
      </c>
      <c r="M12" s="16">
        <v>999999</v>
      </c>
      <c r="N12" s="16">
        <v>999999</v>
      </c>
      <c r="O12" s="16">
        <v>999999</v>
      </c>
      <c r="P12" s="16">
        <v>999999</v>
      </c>
      <c r="Q12" s="17">
        <v>402</v>
      </c>
      <c r="R12" s="16">
        <v>999999</v>
      </c>
      <c r="S12" s="16">
        <v>999999</v>
      </c>
      <c r="T12" s="16">
        <v>999999</v>
      </c>
      <c r="U12" s="16">
        <v>999999</v>
      </c>
      <c r="V12" s="16">
        <v>999999</v>
      </c>
    </row>
    <row r="13" spans="1:22" ht="15.75" customHeight="1" x14ac:dyDescent="0.35">
      <c r="A13" s="14" t="s">
        <v>6</v>
      </c>
      <c r="B13" s="16">
        <v>999999</v>
      </c>
      <c r="C13" s="16">
        <v>999999</v>
      </c>
      <c r="D13" s="16">
        <v>999999</v>
      </c>
      <c r="E13" s="16">
        <v>999999</v>
      </c>
      <c r="F13" s="16">
        <v>999999</v>
      </c>
      <c r="G13" s="16">
        <v>999999</v>
      </c>
      <c r="H13" s="17">
        <v>791</v>
      </c>
      <c r="I13" s="16">
        <v>999999</v>
      </c>
      <c r="J13" s="16">
        <v>999999</v>
      </c>
      <c r="K13" s="16">
        <v>999999</v>
      </c>
      <c r="L13" s="16">
        <v>999999</v>
      </c>
      <c r="M13" s="17">
        <v>515</v>
      </c>
      <c r="N13" s="16">
        <v>999999</v>
      </c>
      <c r="O13" s="16">
        <v>999999</v>
      </c>
      <c r="P13" s="16">
        <v>999999</v>
      </c>
      <c r="Q13" s="16">
        <v>999999</v>
      </c>
      <c r="R13" s="14">
        <v>999999</v>
      </c>
      <c r="S13" s="14">
        <v>999999</v>
      </c>
      <c r="T13" s="14">
        <v>999999</v>
      </c>
      <c r="U13" s="14">
        <v>999999</v>
      </c>
      <c r="V13" s="14">
        <v>999999</v>
      </c>
    </row>
    <row r="14" spans="1:22" ht="15.75" customHeight="1" x14ac:dyDescent="0.35">
      <c r="A14" s="14" t="s">
        <v>19</v>
      </c>
      <c r="B14" s="17">
        <v>368</v>
      </c>
      <c r="C14" s="16">
        <v>999999</v>
      </c>
      <c r="D14" s="16">
        <v>999999</v>
      </c>
      <c r="E14" s="16">
        <v>999999</v>
      </c>
      <c r="F14" s="16">
        <v>999999</v>
      </c>
      <c r="G14" s="17">
        <v>507</v>
      </c>
      <c r="H14" s="16">
        <v>999999</v>
      </c>
      <c r="I14" s="16">
        <v>999999</v>
      </c>
      <c r="J14" s="16">
        <v>999999</v>
      </c>
      <c r="K14" s="16">
        <v>999999</v>
      </c>
      <c r="L14" s="17">
        <v>453</v>
      </c>
      <c r="M14" s="16">
        <v>999999</v>
      </c>
      <c r="N14" s="16">
        <v>999999</v>
      </c>
      <c r="O14" s="16">
        <v>999999</v>
      </c>
      <c r="P14" s="16">
        <v>999999</v>
      </c>
      <c r="Q14" s="16">
        <v>999999</v>
      </c>
      <c r="R14" s="16">
        <v>999999</v>
      </c>
      <c r="S14" s="16">
        <v>999999</v>
      </c>
      <c r="T14" s="16">
        <v>999999</v>
      </c>
      <c r="U14" s="16">
        <v>999999</v>
      </c>
      <c r="V14" s="16">
        <v>999999</v>
      </c>
    </row>
    <row r="15" spans="1:22" ht="15.75" customHeight="1" x14ac:dyDescent="0.35">
      <c r="A15" s="14" t="s">
        <v>23</v>
      </c>
      <c r="B15" s="16">
        <v>999999</v>
      </c>
      <c r="C15" s="17">
        <v>660</v>
      </c>
      <c r="D15" s="16">
        <v>999999</v>
      </c>
      <c r="E15" s="16">
        <v>999999</v>
      </c>
      <c r="F15" s="16">
        <v>999999</v>
      </c>
      <c r="G15" s="16">
        <v>999999</v>
      </c>
      <c r="H15" s="16">
        <v>999999</v>
      </c>
      <c r="I15" s="16">
        <v>999999</v>
      </c>
      <c r="J15" s="16">
        <v>999999</v>
      </c>
      <c r="K15" s="16">
        <v>999999</v>
      </c>
      <c r="L15" s="16">
        <v>999999</v>
      </c>
      <c r="M15" s="16">
        <v>999999</v>
      </c>
      <c r="N15" s="17">
        <v>943</v>
      </c>
      <c r="O15" s="16">
        <v>999999</v>
      </c>
      <c r="P15" s="17">
        <v>553</v>
      </c>
      <c r="Q15" s="17">
        <v>827</v>
      </c>
      <c r="R15" s="16">
        <v>999999</v>
      </c>
      <c r="S15" s="16">
        <v>999999</v>
      </c>
      <c r="T15" s="16">
        <v>999999</v>
      </c>
      <c r="U15" s="16">
        <v>999999</v>
      </c>
      <c r="V15" s="16">
        <v>999999</v>
      </c>
    </row>
    <row r="16" spans="1:22" ht="15.75" customHeight="1" x14ac:dyDescent="0.35">
      <c r="A16" s="14" t="s">
        <v>24</v>
      </c>
      <c r="B16" s="17">
        <v>688</v>
      </c>
      <c r="C16" s="17">
        <v>540</v>
      </c>
      <c r="D16" s="16">
        <v>999999</v>
      </c>
      <c r="E16" s="17">
        <v>507</v>
      </c>
      <c r="F16" s="16">
        <v>999999</v>
      </c>
      <c r="G16" s="16">
        <v>999999</v>
      </c>
      <c r="H16" s="16">
        <v>999999</v>
      </c>
      <c r="I16" s="16">
        <v>999999</v>
      </c>
      <c r="J16" s="16">
        <v>999999</v>
      </c>
      <c r="K16" s="17">
        <v>467</v>
      </c>
      <c r="L16" s="17">
        <v>760</v>
      </c>
      <c r="M16" s="16">
        <v>999999</v>
      </c>
      <c r="N16" s="16">
        <v>999999</v>
      </c>
      <c r="O16" s="20">
        <v>1316</v>
      </c>
      <c r="P16" s="17">
        <v>662</v>
      </c>
      <c r="Q16" s="16">
        <v>999999</v>
      </c>
      <c r="R16" s="16">
        <v>999999</v>
      </c>
      <c r="S16" s="16">
        <v>999999</v>
      </c>
      <c r="T16" s="16">
        <v>999999</v>
      </c>
      <c r="U16" s="16">
        <v>999999</v>
      </c>
      <c r="V16" s="16">
        <v>999999</v>
      </c>
    </row>
    <row r="17" spans="1:22" ht="15.75" customHeight="1" x14ac:dyDescent="0.35">
      <c r="A17" s="14" t="s">
        <v>9</v>
      </c>
      <c r="B17" s="16">
        <v>999999</v>
      </c>
      <c r="C17" s="16">
        <v>999999</v>
      </c>
      <c r="D17" s="17">
        <v>791</v>
      </c>
      <c r="E17" s="16">
        <v>999999</v>
      </c>
      <c r="F17" s="16">
        <v>999999</v>
      </c>
      <c r="G17" s="16">
        <v>999999</v>
      </c>
      <c r="H17" s="16">
        <v>999999</v>
      </c>
      <c r="I17" s="16">
        <v>999999</v>
      </c>
      <c r="J17" s="16">
        <v>999999</v>
      </c>
      <c r="K17" s="16">
        <v>999999</v>
      </c>
      <c r="L17" s="16">
        <v>999999</v>
      </c>
      <c r="M17" s="16">
        <v>999999</v>
      </c>
      <c r="N17" s="16">
        <v>999999</v>
      </c>
      <c r="O17" s="16">
        <v>999999</v>
      </c>
      <c r="P17" s="16">
        <v>999999</v>
      </c>
      <c r="Q17" s="16">
        <v>999999</v>
      </c>
      <c r="R17" s="14">
        <v>999999</v>
      </c>
      <c r="S17" s="14">
        <v>999999</v>
      </c>
      <c r="T17" s="14">
        <v>999999</v>
      </c>
      <c r="U17" s="14">
        <v>999999</v>
      </c>
      <c r="V17" s="14">
        <v>999999</v>
      </c>
    </row>
    <row r="18" spans="1:22" ht="15.75" customHeight="1" x14ac:dyDescent="0.35">
      <c r="A18" s="14" t="s">
        <v>10</v>
      </c>
      <c r="B18" s="17">
        <v>470</v>
      </c>
      <c r="C18" s="16">
        <v>999999</v>
      </c>
      <c r="D18" s="16">
        <v>999999</v>
      </c>
      <c r="E18" s="16">
        <v>999999</v>
      </c>
      <c r="F18" s="16">
        <v>999999</v>
      </c>
      <c r="G18" s="16">
        <v>999999</v>
      </c>
      <c r="H18" s="16">
        <v>999999</v>
      </c>
      <c r="I18" s="16">
        <v>999999</v>
      </c>
      <c r="J18" s="16">
        <v>999999</v>
      </c>
      <c r="K18" s="16">
        <v>999999</v>
      </c>
      <c r="L18" s="16">
        <v>999999</v>
      </c>
      <c r="M18" s="17">
        <v>600</v>
      </c>
      <c r="N18" s="16">
        <v>999999</v>
      </c>
      <c r="O18" s="16">
        <v>999999</v>
      </c>
      <c r="P18" s="16">
        <v>999999</v>
      </c>
      <c r="Q18" s="16">
        <v>999999</v>
      </c>
      <c r="R18" s="14">
        <v>999999</v>
      </c>
      <c r="S18" s="14">
        <v>999999</v>
      </c>
      <c r="T18" s="14">
        <v>999999</v>
      </c>
      <c r="U18" s="14">
        <v>999999</v>
      </c>
      <c r="V18" s="14">
        <v>999999</v>
      </c>
    </row>
    <row r="19" spans="1:22" ht="15.75" customHeight="1" x14ac:dyDescent="0.35">
      <c r="A19" s="14" t="s">
        <v>11</v>
      </c>
      <c r="B19" s="17">
        <v>936</v>
      </c>
      <c r="C19" s="16">
        <v>999999</v>
      </c>
      <c r="D19" s="16">
        <v>999999</v>
      </c>
      <c r="E19" s="16">
        <v>999999</v>
      </c>
      <c r="F19" s="16">
        <v>999999</v>
      </c>
      <c r="G19" s="16">
        <v>999999</v>
      </c>
      <c r="H19" s="16">
        <v>999999</v>
      </c>
      <c r="I19" s="16">
        <v>999999</v>
      </c>
      <c r="J19" s="16">
        <v>999999</v>
      </c>
      <c r="K19" s="16">
        <v>999999</v>
      </c>
      <c r="L19" s="16">
        <v>999999</v>
      </c>
      <c r="M19" s="16">
        <v>999999</v>
      </c>
      <c r="N19" s="16">
        <v>999999</v>
      </c>
      <c r="O19" s="16">
        <v>999999</v>
      </c>
      <c r="P19" s="17">
        <v>837</v>
      </c>
      <c r="Q19" s="16">
        <v>999999</v>
      </c>
      <c r="R19" s="14">
        <v>999999</v>
      </c>
      <c r="S19" s="14">
        <v>999999</v>
      </c>
      <c r="T19" s="14">
        <v>999999</v>
      </c>
      <c r="U19" s="14">
        <v>999999</v>
      </c>
      <c r="V19" s="14">
        <v>999999</v>
      </c>
    </row>
    <row r="20" spans="1:22" ht="15.75" customHeight="1" x14ac:dyDescent="0.35">
      <c r="A20" s="14" t="s">
        <v>34</v>
      </c>
      <c r="B20" s="16">
        <v>999999</v>
      </c>
      <c r="C20" s="17">
        <v>230</v>
      </c>
      <c r="D20" s="16">
        <v>999999</v>
      </c>
      <c r="E20" s="16">
        <v>999999</v>
      </c>
      <c r="F20" s="16">
        <v>999999</v>
      </c>
      <c r="G20" s="17">
        <v>467</v>
      </c>
      <c r="H20" s="16">
        <v>999999</v>
      </c>
      <c r="I20" s="16">
        <v>999999</v>
      </c>
      <c r="J20" s="16">
        <v>999999</v>
      </c>
      <c r="K20" s="16">
        <v>999999</v>
      </c>
      <c r="L20" s="16">
        <v>999999</v>
      </c>
      <c r="M20" s="16">
        <v>999999</v>
      </c>
      <c r="N20" s="16">
        <v>999999</v>
      </c>
      <c r="O20" s="16">
        <v>999999</v>
      </c>
      <c r="P20" s="16">
        <v>999999</v>
      </c>
      <c r="Q20" s="17">
        <v>519</v>
      </c>
      <c r="R20" s="16">
        <v>999999</v>
      </c>
      <c r="S20" s="16">
        <v>999999</v>
      </c>
      <c r="T20" s="16">
        <v>999999</v>
      </c>
      <c r="U20" s="16">
        <v>999999</v>
      </c>
      <c r="V20" s="16">
        <v>999999</v>
      </c>
    </row>
    <row r="21" spans="1:22" ht="15.75" customHeight="1" x14ac:dyDescent="0.35">
      <c r="A21" s="14" t="s">
        <v>13</v>
      </c>
      <c r="B21" s="16">
        <v>999999</v>
      </c>
      <c r="C21" s="16">
        <v>999999</v>
      </c>
      <c r="D21" s="16">
        <v>999999</v>
      </c>
      <c r="E21" s="17">
        <v>453</v>
      </c>
      <c r="F21" s="16">
        <v>999999</v>
      </c>
      <c r="G21" s="17">
        <v>760</v>
      </c>
      <c r="H21" s="16">
        <v>999999</v>
      </c>
      <c r="I21" s="16">
        <v>999999</v>
      </c>
      <c r="J21" s="16">
        <v>999999</v>
      </c>
      <c r="K21" s="16">
        <v>999999</v>
      </c>
      <c r="L21" s="16">
        <v>999999</v>
      </c>
      <c r="M21" s="16">
        <v>999999</v>
      </c>
      <c r="N21" s="16">
        <v>999999</v>
      </c>
      <c r="O21" s="16">
        <v>999999</v>
      </c>
      <c r="P21" s="16">
        <v>999999</v>
      </c>
      <c r="Q21" s="16">
        <v>999999</v>
      </c>
      <c r="R21" s="14">
        <v>999999</v>
      </c>
      <c r="S21" s="14">
        <v>999999</v>
      </c>
      <c r="T21" s="14">
        <v>999999</v>
      </c>
      <c r="U21" s="14">
        <v>999999</v>
      </c>
      <c r="V21" s="14">
        <v>999999</v>
      </c>
    </row>
    <row r="22" spans="1:22" ht="15.75" customHeight="1" x14ac:dyDescent="0.35">
      <c r="A22" s="14" t="s">
        <v>14</v>
      </c>
      <c r="B22" s="16">
        <v>999999</v>
      </c>
      <c r="C22" s="16">
        <v>999999</v>
      </c>
      <c r="D22" s="17">
        <v>515</v>
      </c>
      <c r="E22" s="16">
        <v>999999</v>
      </c>
      <c r="F22" s="16">
        <v>999999</v>
      </c>
      <c r="G22" s="16">
        <v>999999</v>
      </c>
      <c r="H22" s="16">
        <v>999999</v>
      </c>
      <c r="I22" s="17">
        <v>600</v>
      </c>
      <c r="J22" s="16">
        <v>999999</v>
      </c>
      <c r="K22" s="16">
        <v>999999</v>
      </c>
      <c r="L22" s="16">
        <v>999999</v>
      </c>
      <c r="M22" s="16">
        <v>999999</v>
      </c>
      <c r="N22" s="16">
        <v>999999</v>
      </c>
      <c r="O22" s="16">
        <v>999999</v>
      </c>
      <c r="P22" s="16">
        <v>999999</v>
      </c>
      <c r="Q22" s="16">
        <v>999999</v>
      </c>
      <c r="R22" s="14">
        <v>999999</v>
      </c>
      <c r="S22" s="14">
        <v>999999</v>
      </c>
      <c r="T22" s="14">
        <v>999999</v>
      </c>
      <c r="U22" s="14">
        <v>999999</v>
      </c>
      <c r="V22" s="14">
        <v>999999</v>
      </c>
    </row>
    <row r="23" spans="1:22" ht="15.75" customHeight="1" x14ac:dyDescent="0.35">
      <c r="A23" s="14" t="s">
        <v>15</v>
      </c>
      <c r="B23" s="16">
        <v>999999</v>
      </c>
      <c r="C23" s="16">
        <v>999999</v>
      </c>
      <c r="D23" s="16">
        <v>999999</v>
      </c>
      <c r="E23" s="16">
        <v>999999</v>
      </c>
      <c r="F23" s="17">
        <v>943</v>
      </c>
      <c r="G23" s="16">
        <v>999999</v>
      </c>
      <c r="H23" s="16">
        <v>999999</v>
      </c>
      <c r="I23" s="16">
        <v>999999</v>
      </c>
      <c r="J23" s="16">
        <v>999999</v>
      </c>
      <c r="K23" s="16">
        <v>999999</v>
      </c>
      <c r="L23" s="16">
        <v>999999</v>
      </c>
      <c r="M23" s="16">
        <v>999999</v>
      </c>
      <c r="N23" s="16">
        <v>999999</v>
      </c>
      <c r="O23" s="16">
        <v>999999</v>
      </c>
      <c r="P23" s="16">
        <v>999999</v>
      </c>
      <c r="Q23" s="16">
        <v>999999</v>
      </c>
      <c r="R23" s="14">
        <v>999999</v>
      </c>
      <c r="S23" s="14">
        <v>999999</v>
      </c>
      <c r="T23" s="14">
        <v>999999</v>
      </c>
      <c r="U23" s="14">
        <v>999999</v>
      </c>
      <c r="V23" s="14">
        <v>999999</v>
      </c>
    </row>
    <row r="24" spans="1:22" ht="15.75" customHeight="1" x14ac:dyDescent="0.35">
      <c r="A24" s="14" t="s">
        <v>42</v>
      </c>
      <c r="B24" s="16">
        <v>999999</v>
      </c>
      <c r="C24" s="16">
        <v>999999</v>
      </c>
      <c r="D24" s="16">
        <v>999999</v>
      </c>
      <c r="E24" s="16">
        <v>999999</v>
      </c>
      <c r="F24" s="16">
        <v>999999</v>
      </c>
      <c r="G24" s="20">
        <v>1316</v>
      </c>
      <c r="H24" s="16">
        <v>999999</v>
      </c>
      <c r="I24" s="16">
        <v>999999</v>
      </c>
      <c r="J24" s="16">
        <v>999999</v>
      </c>
      <c r="K24" s="16">
        <v>999999</v>
      </c>
      <c r="L24" s="16">
        <v>999999</v>
      </c>
      <c r="M24" s="16">
        <v>999999</v>
      </c>
      <c r="N24" s="16">
        <v>999999</v>
      </c>
      <c r="O24" s="16">
        <v>999999</v>
      </c>
      <c r="P24" s="16">
        <v>999999</v>
      </c>
      <c r="Q24" s="16">
        <v>999999</v>
      </c>
      <c r="R24" s="16">
        <v>999999</v>
      </c>
      <c r="S24" s="16">
        <v>999999</v>
      </c>
      <c r="T24" s="16">
        <v>999999</v>
      </c>
      <c r="U24" s="16">
        <v>999999</v>
      </c>
      <c r="V24" s="16">
        <v>999999</v>
      </c>
    </row>
    <row r="25" spans="1:22" ht="15.75" customHeight="1" x14ac:dyDescent="0.35">
      <c r="A25" s="14" t="s">
        <v>43</v>
      </c>
      <c r="B25" s="17">
        <v>694</v>
      </c>
      <c r="C25" s="16">
        <v>999999</v>
      </c>
      <c r="D25" s="16">
        <v>999999</v>
      </c>
      <c r="E25" s="16">
        <v>999999</v>
      </c>
      <c r="F25" s="17">
        <v>553</v>
      </c>
      <c r="G25" s="17">
        <v>662</v>
      </c>
      <c r="H25" s="16">
        <v>999999</v>
      </c>
      <c r="I25" s="16">
        <v>999999</v>
      </c>
      <c r="J25" s="17">
        <v>837</v>
      </c>
      <c r="K25" s="16">
        <v>999999</v>
      </c>
      <c r="L25" s="16">
        <v>999999</v>
      </c>
      <c r="M25" s="16">
        <v>999999</v>
      </c>
      <c r="N25" s="16">
        <v>999999</v>
      </c>
      <c r="O25" s="16">
        <v>999999</v>
      </c>
      <c r="P25" s="16">
        <v>999999</v>
      </c>
      <c r="Q25" s="16">
        <v>999999</v>
      </c>
      <c r="R25" s="16">
        <v>999999</v>
      </c>
      <c r="S25" s="16">
        <v>999999</v>
      </c>
      <c r="T25" s="16">
        <v>999999</v>
      </c>
      <c r="U25" s="16">
        <v>999999</v>
      </c>
      <c r="V25" s="16">
        <v>999999</v>
      </c>
    </row>
    <row r="26" spans="1:22" ht="15.75" customHeight="1" x14ac:dyDescent="0.35">
      <c r="A26" s="14" t="s">
        <v>44</v>
      </c>
      <c r="B26" s="16">
        <v>999999</v>
      </c>
      <c r="C26" s="17">
        <v>402</v>
      </c>
      <c r="D26" s="16">
        <v>999999</v>
      </c>
      <c r="E26" s="16">
        <v>999999</v>
      </c>
      <c r="F26" s="17">
        <v>827</v>
      </c>
      <c r="G26" s="16">
        <v>999999</v>
      </c>
      <c r="H26" s="16">
        <v>999999</v>
      </c>
      <c r="I26" s="16">
        <v>999999</v>
      </c>
      <c r="J26" s="16">
        <v>999999</v>
      </c>
      <c r="K26" s="17">
        <v>519</v>
      </c>
      <c r="L26" s="16">
        <v>999999</v>
      </c>
      <c r="M26" s="16">
        <v>999999</v>
      </c>
      <c r="N26" s="16">
        <v>999999</v>
      </c>
      <c r="O26" s="16">
        <v>999999</v>
      </c>
      <c r="P26" s="16">
        <v>999999</v>
      </c>
      <c r="Q26" s="16">
        <v>999999</v>
      </c>
      <c r="R26" s="16">
        <v>999999</v>
      </c>
      <c r="S26" s="16">
        <v>999999</v>
      </c>
      <c r="T26" s="16">
        <v>999999</v>
      </c>
      <c r="U26" s="16">
        <v>999999</v>
      </c>
      <c r="V26" s="16">
        <v>999999</v>
      </c>
    </row>
    <row r="27" spans="1:22" ht="15.75" customHeight="1" x14ac:dyDescent="0.35">
      <c r="A27" s="14" t="s">
        <v>26</v>
      </c>
      <c r="B27" s="16">
        <v>999999</v>
      </c>
      <c r="C27" s="16">
        <v>999999</v>
      </c>
      <c r="D27" s="14">
        <v>999999</v>
      </c>
      <c r="E27" s="16">
        <v>999999</v>
      </c>
      <c r="F27" s="16">
        <v>999999</v>
      </c>
      <c r="G27" s="16">
        <v>999999</v>
      </c>
      <c r="H27" s="16">
        <v>999999</v>
      </c>
      <c r="I27" s="14">
        <v>999999</v>
      </c>
      <c r="J27" s="17">
        <v>1776</v>
      </c>
      <c r="K27" s="16">
        <v>999999</v>
      </c>
      <c r="L27" s="14">
        <v>999999</v>
      </c>
      <c r="M27" s="14">
        <v>999999</v>
      </c>
      <c r="N27" s="14">
        <v>999999</v>
      </c>
      <c r="O27" s="16">
        <v>999999</v>
      </c>
      <c r="P27" s="16">
        <v>999999</v>
      </c>
      <c r="Q27" s="16">
        <v>999999</v>
      </c>
      <c r="R27" s="16">
        <v>999999</v>
      </c>
      <c r="S27" s="16">
        <v>999999</v>
      </c>
      <c r="T27" s="16">
        <v>999999</v>
      </c>
      <c r="U27" s="16">
        <v>999999</v>
      </c>
      <c r="V27" s="16">
        <v>999999</v>
      </c>
    </row>
    <row r="28" spans="1:22" ht="15.75" customHeight="1" x14ac:dyDescent="0.35">
      <c r="A28" s="14" t="s">
        <v>27</v>
      </c>
      <c r="B28" s="16">
        <v>999999</v>
      </c>
      <c r="C28" s="16">
        <v>999999</v>
      </c>
      <c r="D28" s="14">
        <v>999999</v>
      </c>
      <c r="E28" s="16">
        <v>999999</v>
      </c>
      <c r="F28" s="16">
        <v>999999</v>
      </c>
      <c r="G28" s="16">
        <v>999999</v>
      </c>
      <c r="H28" s="16">
        <v>999999</v>
      </c>
      <c r="I28" s="14">
        <v>999999</v>
      </c>
      <c r="J28" s="14">
        <v>999999</v>
      </c>
      <c r="K28" s="16">
        <v>999999</v>
      </c>
      <c r="L28" s="14">
        <v>999999</v>
      </c>
      <c r="M28" s="14">
        <v>999999</v>
      </c>
      <c r="N28" s="17">
        <v>1010</v>
      </c>
      <c r="O28" s="16">
        <v>999999</v>
      </c>
      <c r="P28" s="16">
        <v>999999</v>
      </c>
      <c r="Q28" s="16">
        <v>999999</v>
      </c>
      <c r="R28" s="16">
        <v>999999</v>
      </c>
      <c r="S28" s="16">
        <v>999999</v>
      </c>
      <c r="T28" s="16">
        <v>999999</v>
      </c>
      <c r="U28" s="16">
        <v>999999</v>
      </c>
      <c r="V28" s="16">
        <v>999999</v>
      </c>
    </row>
    <row r="29" spans="1:22" ht="15.75" customHeight="1" x14ac:dyDescent="0.35">
      <c r="A29" s="14" t="s">
        <v>29</v>
      </c>
      <c r="B29" s="16">
        <v>999999</v>
      </c>
      <c r="C29" s="16">
        <v>999999</v>
      </c>
      <c r="D29" s="17">
        <v>512</v>
      </c>
      <c r="E29" s="16">
        <v>999999</v>
      </c>
      <c r="F29" s="16">
        <v>999999</v>
      </c>
      <c r="G29" s="16">
        <v>999999</v>
      </c>
      <c r="H29" s="17">
        <v>756</v>
      </c>
      <c r="I29" s="17">
        <v>433</v>
      </c>
      <c r="J29" s="16">
        <v>999999</v>
      </c>
      <c r="K29" s="16">
        <v>999999</v>
      </c>
      <c r="L29" s="14">
        <v>999999</v>
      </c>
      <c r="M29" s="17">
        <v>567</v>
      </c>
      <c r="N29" s="14">
        <v>999999</v>
      </c>
      <c r="O29" s="16">
        <v>999999</v>
      </c>
      <c r="P29" s="16">
        <v>999999</v>
      </c>
      <c r="Q29" s="16">
        <v>999999</v>
      </c>
      <c r="R29" s="16">
        <v>999999</v>
      </c>
      <c r="S29" s="16">
        <v>999999</v>
      </c>
      <c r="T29" s="16">
        <v>999999</v>
      </c>
      <c r="U29" s="16">
        <v>999999</v>
      </c>
      <c r="V29" s="16">
        <v>999999</v>
      </c>
    </row>
    <row r="30" spans="1:22" ht="15.75" customHeight="1" x14ac:dyDescent="0.35">
      <c r="A30" s="14" t="s">
        <v>32</v>
      </c>
      <c r="B30" s="16">
        <v>999999</v>
      </c>
      <c r="C30" s="16">
        <v>999999</v>
      </c>
      <c r="D30" s="17">
        <v>921</v>
      </c>
      <c r="E30" s="16">
        <v>999999</v>
      </c>
      <c r="F30" s="16">
        <v>999999</v>
      </c>
      <c r="G30" s="16">
        <v>999999</v>
      </c>
      <c r="H30" s="17">
        <v>1159</v>
      </c>
      <c r="I30" s="14">
        <v>999999</v>
      </c>
      <c r="J30" s="14">
        <v>999999</v>
      </c>
      <c r="K30" s="16">
        <v>999999</v>
      </c>
      <c r="L30" s="16">
        <v>999999</v>
      </c>
      <c r="M30" s="14">
        <v>999999</v>
      </c>
      <c r="N30" s="14">
        <v>999999</v>
      </c>
      <c r="O30" s="16">
        <v>999999</v>
      </c>
      <c r="P30" s="16">
        <v>999999</v>
      </c>
      <c r="Q30" s="16">
        <v>999999</v>
      </c>
      <c r="R30" s="16">
        <v>999999</v>
      </c>
      <c r="S30" s="16">
        <v>999999</v>
      </c>
      <c r="T30" s="16">
        <v>999999</v>
      </c>
      <c r="U30" s="16">
        <v>999999</v>
      </c>
      <c r="V30" s="16">
        <v>999999</v>
      </c>
    </row>
    <row r="31" spans="1:22" ht="15.75" customHeight="1" x14ac:dyDescent="0.35">
      <c r="A31" s="14" t="s">
        <v>45</v>
      </c>
      <c r="B31" s="16">
        <v>999999</v>
      </c>
      <c r="C31" s="16">
        <v>999999</v>
      </c>
      <c r="D31" s="14">
        <v>999999</v>
      </c>
      <c r="E31" s="16">
        <v>999999</v>
      </c>
      <c r="F31" s="16">
        <v>999999</v>
      </c>
      <c r="G31" s="16">
        <v>999999</v>
      </c>
      <c r="H31" s="16">
        <v>999999</v>
      </c>
      <c r="I31" s="17">
        <v>1057</v>
      </c>
      <c r="J31" s="14">
        <v>999999</v>
      </c>
      <c r="K31" s="16">
        <v>999999</v>
      </c>
      <c r="L31" s="17">
        <v>1051</v>
      </c>
      <c r="M31" s="17">
        <v>693</v>
      </c>
      <c r="N31" s="14">
        <v>999999</v>
      </c>
      <c r="O31" s="16">
        <v>999999</v>
      </c>
      <c r="P31" s="16">
        <v>999999</v>
      </c>
      <c r="Q31" s="16">
        <v>999999</v>
      </c>
      <c r="R31" s="16">
        <v>999999</v>
      </c>
      <c r="S31" s="16">
        <v>999999</v>
      </c>
      <c r="T31" s="16">
        <v>999999</v>
      </c>
      <c r="U31" s="16">
        <v>999999</v>
      </c>
      <c r="V31" s="16">
        <v>999999</v>
      </c>
    </row>
    <row r="32" spans="1:22" ht="15.75" customHeight="1" x14ac:dyDescent="0.35">
      <c r="A32" s="9"/>
      <c r="H32" s="9"/>
      <c r="O32" s="9"/>
    </row>
    <row r="33" spans="1:15" ht="15.75" customHeight="1" x14ac:dyDescent="0.35">
      <c r="A33" s="9"/>
      <c r="H33" s="9"/>
      <c r="O33" s="9"/>
    </row>
    <row r="34" spans="1:15" ht="15.75" customHeight="1" x14ac:dyDescent="0.35">
      <c r="A34" s="9"/>
      <c r="H34" s="9"/>
      <c r="O34" s="9"/>
    </row>
    <row r="35" spans="1:15" ht="15.75" customHeight="1" x14ac:dyDescent="0.35">
      <c r="A35" s="9"/>
      <c r="H35" s="9"/>
      <c r="O35" s="9"/>
    </row>
    <row r="36" spans="1:15" ht="15.75" customHeight="1" x14ac:dyDescent="0.35">
      <c r="A36" s="9"/>
      <c r="G36" s="16"/>
      <c r="H36" s="9"/>
      <c r="O36" s="9"/>
    </row>
    <row r="37" spans="1:15" ht="15.75" customHeight="1" x14ac:dyDescent="0.35">
      <c r="A37" s="9"/>
      <c r="G37" s="16"/>
      <c r="H37" s="9"/>
      <c r="O37" s="9"/>
    </row>
    <row r="38" spans="1:15" ht="15.75" customHeight="1" x14ac:dyDescent="0.35">
      <c r="A38" s="9"/>
      <c r="G38" s="16"/>
      <c r="H38" s="9"/>
      <c r="O38" s="9"/>
    </row>
    <row r="39" spans="1:15" ht="15.75" customHeight="1" x14ac:dyDescent="0.35">
      <c r="A39" s="9"/>
      <c r="G39" s="16"/>
      <c r="H39" s="9"/>
      <c r="O39" s="9"/>
    </row>
    <row r="40" spans="1:15" ht="15.75" customHeight="1" x14ac:dyDescent="0.35">
      <c r="A40" s="9"/>
      <c r="G40" s="16"/>
      <c r="H40" s="9"/>
      <c r="O40" s="9"/>
    </row>
    <row r="41" spans="1:15" ht="15.75" customHeight="1" x14ac:dyDescent="0.35">
      <c r="A41" s="9"/>
      <c r="G41" s="16"/>
      <c r="H41" s="9"/>
      <c r="O41" s="9"/>
    </row>
    <row r="42" spans="1:15" ht="15.75" customHeight="1" x14ac:dyDescent="0.35">
      <c r="A42" s="9"/>
      <c r="G42" s="16"/>
      <c r="H42" s="9"/>
      <c r="O42" s="9"/>
    </row>
    <row r="43" spans="1:15" ht="15.75" customHeight="1" x14ac:dyDescent="0.35">
      <c r="A43" s="9"/>
      <c r="G43" s="16"/>
      <c r="H43" s="9"/>
      <c r="O43" s="9"/>
    </row>
    <row r="44" spans="1:15" ht="15.75" customHeight="1" x14ac:dyDescent="0.35">
      <c r="A44" s="9"/>
      <c r="G44" s="16"/>
      <c r="H44" s="9"/>
      <c r="O44" s="9"/>
    </row>
    <row r="45" spans="1:15" ht="15.75" customHeight="1" x14ac:dyDescent="0.35">
      <c r="A45" s="9"/>
      <c r="G45" s="16"/>
      <c r="H45" s="9"/>
      <c r="O45" s="9"/>
    </row>
    <row r="46" spans="1:15" ht="15.75" customHeight="1" x14ac:dyDescent="0.35">
      <c r="A46" s="9"/>
      <c r="G46" s="16"/>
      <c r="H46" s="9"/>
      <c r="O46" s="9"/>
    </row>
    <row r="47" spans="1:15" ht="15.75" customHeight="1" x14ac:dyDescent="0.35">
      <c r="A47" s="9"/>
      <c r="G47" s="16"/>
      <c r="H47" s="9"/>
      <c r="O47" s="9"/>
    </row>
    <row r="48" spans="1:15" ht="15.75" customHeight="1" x14ac:dyDescent="0.35">
      <c r="A48" s="9"/>
      <c r="G48" s="16"/>
      <c r="H48" s="9"/>
      <c r="O48" s="9"/>
    </row>
    <row r="49" spans="1:15" ht="15.75" customHeight="1" x14ac:dyDescent="0.35">
      <c r="A49" s="9"/>
      <c r="G49" s="16"/>
      <c r="H49" s="9"/>
      <c r="O49" s="9"/>
    </row>
    <row r="50" spans="1:15" ht="15.75" customHeight="1" x14ac:dyDescent="0.35">
      <c r="A50" s="9"/>
      <c r="G50" s="16"/>
      <c r="H50" s="9"/>
      <c r="O50" s="9"/>
    </row>
    <row r="51" spans="1:15" ht="15.75" customHeight="1" x14ac:dyDescent="0.35">
      <c r="A51" s="9"/>
      <c r="G51" s="16"/>
      <c r="H51" s="9"/>
      <c r="O51" s="9"/>
    </row>
    <row r="52" spans="1:15" ht="15.75" customHeight="1" x14ac:dyDescent="0.35">
      <c r="A52" s="9"/>
      <c r="G52" s="16"/>
      <c r="H52" s="9"/>
      <c r="O52" s="9"/>
    </row>
    <row r="53" spans="1:15" ht="15.75" customHeight="1" x14ac:dyDescent="0.35">
      <c r="A53" s="9"/>
      <c r="G53" s="16"/>
      <c r="H53" s="9"/>
      <c r="O53" s="9"/>
    </row>
    <row r="54" spans="1:15" ht="15.75" customHeight="1" x14ac:dyDescent="0.35">
      <c r="A54" s="9"/>
      <c r="H54" s="9"/>
      <c r="O54" s="9"/>
    </row>
    <row r="55" spans="1:15" ht="15.75" customHeight="1" x14ac:dyDescent="0.35">
      <c r="A55" s="9"/>
      <c r="H55" s="9"/>
      <c r="O55" s="9"/>
    </row>
    <row r="56" spans="1:15" ht="15.75" customHeight="1" x14ac:dyDescent="0.35">
      <c r="A56" s="9"/>
      <c r="H56" s="9"/>
      <c r="O56" s="9"/>
    </row>
    <row r="57" spans="1:15" ht="15.75" customHeight="1" x14ac:dyDescent="0.35">
      <c r="A57" s="9"/>
      <c r="H57" s="9"/>
      <c r="O57" s="9"/>
    </row>
    <row r="58" spans="1:15" ht="15.75" customHeight="1" x14ac:dyDescent="0.35">
      <c r="A58" s="9"/>
      <c r="H58" s="9"/>
      <c r="O58" s="9"/>
    </row>
    <row r="59" spans="1:15" ht="15.75" customHeight="1" x14ac:dyDescent="0.35">
      <c r="A59" s="9"/>
      <c r="H59" s="9"/>
      <c r="O59" s="9"/>
    </row>
    <row r="60" spans="1:15" ht="15.75" customHeight="1" x14ac:dyDescent="0.35">
      <c r="A60" s="9"/>
      <c r="H60" s="9"/>
      <c r="O60" s="9"/>
    </row>
    <row r="61" spans="1:15" ht="15.75" customHeight="1" x14ac:dyDescent="0.35">
      <c r="A61" s="9"/>
      <c r="H61" s="9"/>
      <c r="O61" s="9"/>
    </row>
    <row r="62" spans="1:15" ht="15.75" customHeight="1" x14ac:dyDescent="0.35">
      <c r="A62" s="9"/>
      <c r="H62" s="9"/>
      <c r="O62" s="9"/>
    </row>
    <row r="63" spans="1:15" ht="15.75" customHeight="1" x14ac:dyDescent="0.35">
      <c r="A63" s="9"/>
      <c r="H63" s="9"/>
      <c r="O63" s="9"/>
    </row>
    <row r="64" spans="1:15" ht="15.75" customHeight="1" x14ac:dyDescent="0.35">
      <c r="A64" s="9"/>
      <c r="H64" s="9"/>
      <c r="O64" s="9"/>
    </row>
    <row r="65" spans="1:15" ht="15.75" customHeight="1" x14ac:dyDescent="0.35">
      <c r="A65" s="9"/>
      <c r="H65" s="9"/>
      <c r="O65" s="9"/>
    </row>
    <row r="66" spans="1:15" ht="15.75" customHeight="1" x14ac:dyDescent="0.35">
      <c r="A66" s="9"/>
      <c r="H66" s="9"/>
      <c r="O66" s="9"/>
    </row>
    <row r="67" spans="1:15" ht="15.75" customHeight="1" x14ac:dyDescent="0.35">
      <c r="A67" s="9"/>
      <c r="H67" s="9"/>
      <c r="O67" s="9"/>
    </row>
    <row r="68" spans="1:15" ht="15.75" customHeight="1" x14ac:dyDescent="0.35">
      <c r="A68" s="9"/>
      <c r="H68" s="9"/>
      <c r="O68" s="9"/>
    </row>
    <row r="69" spans="1:15" ht="15.75" customHeight="1" x14ac:dyDescent="0.35">
      <c r="A69" s="9"/>
      <c r="H69" s="9"/>
      <c r="O69" s="9"/>
    </row>
    <row r="70" spans="1:15" ht="15.75" customHeight="1" x14ac:dyDescent="0.35">
      <c r="A70" s="9"/>
      <c r="H70" s="9"/>
      <c r="O70" s="9"/>
    </row>
    <row r="71" spans="1:15" ht="15.75" customHeight="1" x14ac:dyDescent="0.35">
      <c r="A71" s="9"/>
      <c r="H71" s="9"/>
      <c r="O71" s="9"/>
    </row>
    <row r="72" spans="1:15" ht="15.75" customHeight="1" x14ac:dyDescent="0.35">
      <c r="A72" s="9"/>
      <c r="H72" s="9"/>
      <c r="O72" s="9"/>
    </row>
    <row r="73" spans="1:15" ht="15.75" customHeight="1" x14ac:dyDescent="0.35">
      <c r="A73" s="9"/>
      <c r="H73" s="9"/>
      <c r="O73" s="9"/>
    </row>
    <row r="74" spans="1:15" ht="15.75" customHeight="1" x14ac:dyDescent="0.35">
      <c r="A74" s="9"/>
      <c r="H74" s="9"/>
      <c r="O74" s="9"/>
    </row>
    <row r="75" spans="1:15" ht="15.75" customHeight="1" x14ac:dyDescent="0.35">
      <c r="A75" s="9"/>
      <c r="H75" s="9"/>
      <c r="O75" s="9"/>
    </row>
    <row r="76" spans="1:15" ht="15.75" customHeight="1" x14ac:dyDescent="0.35">
      <c r="A76" s="9"/>
      <c r="H76" s="9"/>
      <c r="O76" s="9"/>
    </row>
    <row r="77" spans="1:15" ht="15.75" customHeight="1" x14ac:dyDescent="0.35">
      <c r="A77" s="9"/>
      <c r="H77" s="9"/>
      <c r="O77" s="9"/>
    </row>
    <row r="78" spans="1:15" ht="15.75" customHeight="1" x14ac:dyDescent="0.35">
      <c r="A78" s="9"/>
      <c r="H78" s="9"/>
      <c r="O78" s="9"/>
    </row>
    <row r="79" spans="1:15" ht="15.75" customHeight="1" x14ac:dyDescent="0.35">
      <c r="A79" s="9"/>
      <c r="H79" s="9"/>
      <c r="O79" s="9"/>
    </row>
    <row r="80" spans="1:15" ht="15.75" customHeight="1" x14ac:dyDescent="0.35">
      <c r="A80" s="9"/>
      <c r="H80" s="9"/>
      <c r="O80" s="9"/>
    </row>
    <row r="81" spans="1:15" ht="15.75" customHeight="1" x14ac:dyDescent="0.35">
      <c r="A81" s="9"/>
      <c r="H81" s="9"/>
      <c r="O81" s="9"/>
    </row>
    <row r="82" spans="1:15" ht="15.75" customHeight="1" x14ac:dyDescent="0.35">
      <c r="A82" s="9"/>
      <c r="H82" s="9"/>
      <c r="O82" s="9"/>
    </row>
    <row r="83" spans="1:15" ht="15.75" customHeight="1" x14ac:dyDescent="0.35">
      <c r="A83" s="9"/>
      <c r="H83" s="9"/>
      <c r="O83" s="9"/>
    </row>
    <row r="84" spans="1:15" ht="15.75" customHeight="1" x14ac:dyDescent="0.35">
      <c r="A84" s="9"/>
      <c r="H84" s="9"/>
      <c r="O84" s="9"/>
    </row>
    <row r="85" spans="1:15" ht="15.75" customHeight="1" x14ac:dyDescent="0.35">
      <c r="A85" s="9"/>
      <c r="H85" s="9"/>
      <c r="O85" s="9"/>
    </row>
    <row r="86" spans="1:15" ht="15.75" customHeight="1" x14ac:dyDescent="0.35">
      <c r="A86" s="9"/>
      <c r="H86" s="9"/>
      <c r="O86" s="9"/>
    </row>
    <row r="87" spans="1:15" ht="15.75" customHeight="1" x14ac:dyDescent="0.35">
      <c r="A87" s="9"/>
      <c r="H87" s="9"/>
      <c r="O87" s="9"/>
    </row>
    <row r="88" spans="1:15" ht="15.75" customHeight="1" x14ac:dyDescent="0.35">
      <c r="A88" s="9"/>
      <c r="H88" s="9"/>
      <c r="O88" s="9"/>
    </row>
    <row r="89" spans="1:15" ht="15.75" customHeight="1" x14ac:dyDescent="0.35">
      <c r="A89" s="9"/>
      <c r="H89" s="9"/>
      <c r="O89" s="9"/>
    </row>
    <row r="90" spans="1:15" ht="15.75" customHeight="1" x14ac:dyDescent="0.35">
      <c r="A90" s="9"/>
      <c r="H90" s="9"/>
      <c r="O90" s="9"/>
    </row>
    <row r="91" spans="1:15" ht="15.75" customHeight="1" x14ac:dyDescent="0.35">
      <c r="A91" s="9"/>
      <c r="H91" s="9"/>
      <c r="O91" s="9"/>
    </row>
    <row r="92" spans="1:15" ht="15.75" customHeight="1" x14ac:dyDescent="0.35">
      <c r="A92" s="9"/>
      <c r="H92" s="9"/>
      <c r="O92" s="9"/>
    </row>
    <row r="93" spans="1:15" ht="15.75" customHeight="1" x14ac:dyDescent="0.35">
      <c r="A93" s="9"/>
      <c r="H93" s="9"/>
      <c r="O93" s="9"/>
    </row>
    <row r="94" spans="1:15" ht="15.75" customHeight="1" x14ac:dyDescent="0.35">
      <c r="A94" s="9"/>
      <c r="H94" s="9"/>
      <c r="O94" s="9"/>
    </row>
    <row r="95" spans="1:15" ht="15.75" customHeight="1" x14ac:dyDescent="0.35">
      <c r="A95" s="9"/>
      <c r="H95" s="9"/>
      <c r="O95" s="9"/>
    </row>
    <row r="96" spans="1:15" ht="15.75" customHeight="1" x14ac:dyDescent="0.35">
      <c r="A96" s="9"/>
      <c r="H96" s="9"/>
      <c r="O96" s="9"/>
    </row>
    <row r="97" spans="1:15" ht="15.75" customHeight="1" x14ac:dyDescent="0.35">
      <c r="A97" s="9"/>
      <c r="H97" s="9"/>
      <c r="O97" s="9"/>
    </row>
    <row r="98" spans="1:15" ht="15.75" customHeight="1" x14ac:dyDescent="0.35">
      <c r="A98" s="9"/>
      <c r="H98" s="9"/>
      <c r="O98" s="9"/>
    </row>
    <row r="99" spans="1:15" ht="15.75" customHeight="1" x14ac:dyDescent="0.35">
      <c r="A99" s="9"/>
      <c r="H99" s="9"/>
      <c r="O99" s="9"/>
    </row>
    <row r="100" spans="1:15" ht="15.75" customHeight="1" x14ac:dyDescent="0.35">
      <c r="A100" s="9"/>
      <c r="H100" s="9"/>
      <c r="O100" s="9"/>
    </row>
    <row r="101" spans="1:15" ht="15.75" customHeight="1" x14ac:dyDescent="0.35">
      <c r="A101" s="9"/>
      <c r="H101" s="9"/>
      <c r="O101" s="9"/>
    </row>
    <row r="102" spans="1:15" ht="15.75" customHeight="1" x14ac:dyDescent="0.35">
      <c r="A102" s="9"/>
      <c r="H102" s="9"/>
      <c r="O102" s="9"/>
    </row>
    <row r="103" spans="1:15" ht="15.75" customHeight="1" x14ac:dyDescent="0.35">
      <c r="A103" s="9"/>
      <c r="H103" s="9"/>
      <c r="O103" s="9"/>
    </row>
    <row r="104" spans="1:15" ht="15.75" customHeight="1" x14ac:dyDescent="0.35">
      <c r="A104" s="9"/>
      <c r="H104" s="9"/>
      <c r="O104" s="9"/>
    </row>
    <row r="105" spans="1:15" ht="15.75" customHeight="1" x14ac:dyDescent="0.35">
      <c r="A105" s="9"/>
      <c r="H105" s="9"/>
      <c r="O105" s="9"/>
    </row>
    <row r="106" spans="1:15" ht="15.75" customHeight="1" x14ac:dyDescent="0.35">
      <c r="A106" s="9"/>
      <c r="H106" s="9"/>
      <c r="O106" s="9"/>
    </row>
    <row r="107" spans="1:15" ht="15.75" customHeight="1" x14ac:dyDescent="0.35">
      <c r="A107" s="9"/>
      <c r="H107" s="9"/>
      <c r="O107" s="9"/>
    </row>
    <row r="108" spans="1:15" ht="15.75" customHeight="1" x14ac:dyDescent="0.35">
      <c r="A108" s="9"/>
      <c r="H108" s="9"/>
      <c r="O108" s="9"/>
    </row>
    <row r="109" spans="1:15" ht="15.75" customHeight="1" x14ac:dyDescent="0.35">
      <c r="A109" s="9"/>
      <c r="H109" s="9"/>
      <c r="O109" s="9"/>
    </row>
    <row r="110" spans="1:15" ht="15.75" customHeight="1" x14ac:dyDescent="0.35">
      <c r="A110" s="9"/>
      <c r="H110" s="9"/>
      <c r="O110" s="9"/>
    </row>
    <row r="111" spans="1:15" ht="15.75" customHeight="1" x14ac:dyDescent="0.35">
      <c r="A111" s="9"/>
      <c r="H111" s="9"/>
      <c r="O111" s="9"/>
    </row>
    <row r="112" spans="1:15" ht="15.75" customHeight="1" x14ac:dyDescent="0.35">
      <c r="A112" s="9"/>
      <c r="H112" s="9"/>
      <c r="O112" s="9"/>
    </row>
    <row r="113" spans="1:15" ht="15.75" customHeight="1" x14ac:dyDescent="0.35">
      <c r="A113" s="9"/>
      <c r="H113" s="9"/>
      <c r="O113" s="9"/>
    </row>
    <row r="114" spans="1:15" ht="15.75" customHeight="1" x14ac:dyDescent="0.35">
      <c r="A114" s="9"/>
      <c r="H114" s="9"/>
      <c r="O114" s="9"/>
    </row>
    <row r="115" spans="1:15" ht="15.75" customHeight="1" x14ac:dyDescent="0.35">
      <c r="A115" s="9"/>
      <c r="H115" s="9"/>
      <c r="O115" s="9"/>
    </row>
    <row r="116" spans="1:15" ht="15.75" customHeight="1" x14ac:dyDescent="0.35">
      <c r="A116" s="9"/>
      <c r="H116" s="9"/>
      <c r="O116" s="9"/>
    </row>
    <row r="117" spans="1:15" ht="15.75" customHeight="1" x14ac:dyDescent="0.35">
      <c r="A117" s="9"/>
      <c r="H117" s="9"/>
      <c r="O117" s="9"/>
    </row>
    <row r="118" spans="1:15" ht="15.75" customHeight="1" x14ac:dyDescent="0.35">
      <c r="A118" s="9"/>
      <c r="H118" s="9"/>
      <c r="O118" s="9"/>
    </row>
    <row r="119" spans="1:15" ht="15.75" customHeight="1" x14ac:dyDescent="0.35">
      <c r="A119" s="9"/>
      <c r="H119" s="9"/>
      <c r="O119" s="9"/>
    </row>
    <row r="120" spans="1:15" ht="15.75" customHeight="1" x14ac:dyDescent="0.35">
      <c r="A120" s="9"/>
      <c r="H120" s="9"/>
      <c r="O120" s="9"/>
    </row>
    <row r="121" spans="1:15" ht="15.75" customHeight="1" x14ac:dyDescent="0.35">
      <c r="A121" s="9"/>
      <c r="H121" s="9"/>
      <c r="O121" s="9"/>
    </row>
    <row r="122" spans="1:15" ht="15.75" customHeight="1" x14ac:dyDescent="0.35">
      <c r="A122" s="9"/>
      <c r="H122" s="9"/>
      <c r="O122" s="9"/>
    </row>
    <row r="123" spans="1:15" ht="15.75" customHeight="1" x14ac:dyDescent="0.35">
      <c r="A123" s="9"/>
      <c r="H123" s="9"/>
      <c r="O123" s="9"/>
    </row>
    <row r="124" spans="1:15" ht="15.75" customHeight="1" x14ac:dyDescent="0.35">
      <c r="A124" s="9"/>
      <c r="H124" s="9"/>
      <c r="O124" s="9"/>
    </row>
    <row r="125" spans="1:15" ht="15.75" customHeight="1" x14ac:dyDescent="0.35">
      <c r="A125" s="9"/>
      <c r="H125" s="9"/>
      <c r="O125" s="9"/>
    </row>
    <row r="126" spans="1:15" ht="15.75" customHeight="1" x14ac:dyDescent="0.35">
      <c r="A126" s="9"/>
      <c r="H126" s="9"/>
      <c r="O126" s="9"/>
    </row>
    <row r="127" spans="1:15" ht="15.75" customHeight="1" x14ac:dyDescent="0.35">
      <c r="A127" s="9"/>
      <c r="H127" s="9"/>
      <c r="O127" s="9"/>
    </row>
    <row r="128" spans="1:15" ht="15.75" customHeight="1" x14ac:dyDescent="0.35">
      <c r="A128" s="9"/>
      <c r="H128" s="9"/>
      <c r="O128" s="9"/>
    </row>
    <row r="129" spans="1:15" ht="15.75" customHeight="1" x14ac:dyDescent="0.35">
      <c r="A129" s="9"/>
      <c r="H129" s="9"/>
      <c r="O129" s="9"/>
    </row>
    <row r="130" spans="1:15" ht="15.75" customHeight="1" x14ac:dyDescent="0.35">
      <c r="A130" s="9"/>
      <c r="H130" s="9"/>
      <c r="O130" s="9"/>
    </row>
    <row r="131" spans="1:15" ht="15.75" customHeight="1" x14ac:dyDescent="0.35">
      <c r="A131" s="9"/>
      <c r="H131" s="9"/>
      <c r="O131" s="9"/>
    </row>
    <row r="132" spans="1:15" ht="15.75" customHeight="1" x14ac:dyDescent="0.35">
      <c r="A132" s="9"/>
      <c r="H132" s="9"/>
      <c r="O132" s="9"/>
    </row>
    <row r="133" spans="1:15" ht="15.75" customHeight="1" x14ac:dyDescent="0.35">
      <c r="A133" s="9"/>
      <c r="H133" s="9"/>
      <c r="O133" s="9"/>
    </row>
    <row r="134" spans="1:15" ht="15.75" customHeight="1" x14ac:dyDescent="0.35">
      <c r="A134" s="9"/>
      <c r="H134" s="9"/>
      <c r="O134" s="9"/>
    </row>
    <row r="135" spans="1:15" ht="15.75" customHeight="1" x14ac:dyDescent="0.35">
      <c r="A135" s="9"/>
      <c r="H135" s="9"/>
      <c r="O135" s="9"/>
    </row>
    <row r="136" spans="1:15" ht="15.75" customHeight="1" x14ac:dyDescent="0.35">
      <c r="A136" s="9"/>
      <c r="H136" s="9"/>
      <c r="O136" s="9"/>
    </row>
    <row r="137" spans="1:15" ht="15.75" customHeight="1" x14ac:dyDescent="0.35">
      <c r="A137" s="9"/>
      <c r="H137" s="9"/>
      <c r="O137" s="9"/>
    </row>
    <row r="138" spans="1:15" ht="15.75" customHeight="1" x14ac:dyDescent="0.35">
      <c r="A138" s="9"/>
      <c r="H138" s="9"/>
      <c r="O138" s="9"/>
    </row>
    <row r="139" spans="1:15" ht="15.75" customHeight="1" x14ac:dyDescent="0.35">
      <c r="A139" s="9"/>
      <c r="H139" s="9"/>
      <c r="O139" s="9"/>
    </row>
    <row r="140" spans="1:15" ht="15.75" customHeight="1" x14ac:dyDescent="0.35">
      <c r="A140" s="9"/>
      <c r="H140" s="9"/>
      <c r="O140" s="9"/>
    </row>
    <row r="141" spans="1:15" ht="15.75" customHeight="1" x14ac:dyDescent="0.35">
      <c r="A141" s="9"/>
      <c r="H141" s="9"/>
      <c r="O141" s="9"/>
    </row>
    <row r="142" spans="1:15" ht="15.75" customHeight="1" x14ac:dyDescent="0.35">
      <c r="A142" s="9"/>
      <c r="H142" s="9"/>
      <c r="O142" s="9"/>
    </row>
    <row r="143" spans="1:15" ht="15.75" customHeight="1" x14ac:dyDescent="0.35">
      <c r="A143" s="9"/>
      <c r="H143" s="9"/>
      <c r="O143" s="9"/>
    </row>
    <row r="144" spans="1:15" ht="15.75" customHeight="1" x14ac:dyDescent="0.35">
      <c r="A144" s="9"/>
      <c r="H144" s="9"/>
      <c r="O144" s="9"/>
    </row>
    <row r="145" spans="1:15" ht="15.75" customHeight="1" x14ac:dyDescent="0.35">
      <c r="A145" s="9"/>
      <c r="H145" s="9"/>
      <c r="O145" s="9"/>
    </row>
    <row r="146" spans="1:15" ht="15.75" customHeight="1" x14ac:dyDescent="0.35">
      <c r="A146" s="9"/>
      <c r="H146" s="9"/>
      <c r="O146" s="9"/>
    </row>
    <row r="147" spans="1:15" ht="15.75" customHeight="1" x14ac:dyDescent="0.35">
      <c r="A147" s="9"/>
      <c r="H147" s="9"/>
      <c r="O147" s="9"/>
    </row>
    <row r="148" spans="1:15" ht="15.75" customHeight="1" x14ac:dyDescent="0.35">
      <c r="A148" s="9"/>
      <c r="H148" s="9"/>
      <c r="O148" s="9"/>
    </row>
    <row r="149" spans="1:15" ht="15.75" customHeight="1" x14ac:dyDescent="0.35">
      <c r="A149" s="9"/>
      <c r="H149" s="9"/>
      <c r="O149" s="9"/>
    </row>
    <row r="150" spans="1:15" ht="15.75" customHeight="1" x14ac:dyDescent="0.35">
      <c r="A150" s="9"/>
      <c r="H150" s="9"/>
      <c r="O150" s="9"/>
    </row>
    <row r="151" spans="1:15" ht="15.75" customHeight="1" x14ac:dyDescent="0.35">
      <c r="A151" s="9"/>
      <c r="H151" s="9"/>
      <c r="O151" s="9"/>
    </row>
    <row r="152" spans="1:15" ht="15.75" customHeight="1" x14ac:dyDescent="0.35">
      <c r="A152" s="9"/>
      <c r="H152" s="9"/>
      <c r="O152" s="9"/>
    </row>
    <row r="153" spans="1:15" ht="15.75" customHeight="1" x14ac:dyDescent="0.35">
      <c r="A153" s="9"/>
      <c r="H153" s="9"/>
      <c r="O153" s="9"/>
    </row>
    <row r="154" spans="1:15" ht="15.75" customHeight="1" x14ac:dyDescent="0.35">
      <c r="A154" s="9"/>
      <c r="H154" s="9"/>
      <c r="O154" s="9"/>
    </row>
    <row r="155" spans="1:15" ht="15.75" customHeight="1" x14ac:dyDescent="0.35">
      <c r="A155" s="9"/>
      <c r="H155" s="9"/>
      <c r="O155" s="9"/>
    </row>
    <row r="156" spans="1:15" ht="15.75" customHeight="1" x14ac:dyDescent="0.35">
      <c r="A156" s="9"/>
      <c r="H156" s="9"/>
      <c r="O156" s="9"/>
    </row>
    <row r="157" spans="1:15" ht="15.75" customHeight="1" x14ac:dyDescent="0.35">
      <c r="A157" s="9"/>
      <c r="H157" s="9"/>
      <c r="O157" s="9"/>
    </row>
    <row r="158" spans="1:15" ht="15.75" customHeight="1" x14ac:dyDescent="0.35">
      <c r="A158" s="9"/>
      <c r="H158" s="9"/>
      <c r="O158" s="9"/>
    </row>
    <row r="159" spans="1:15" ht="15.75" customHeight="1" x14ac:dyDescent="0.35">
      <c r="A159" s="9"/>
      <c r="H159" s="9"/>
      <c r="O159" s="9"/>
    </row>
    <row r="160" spans="1:15" ht="15.75" customHeight="1" x14ac:dyDescent="0.35">
      <c r="A160" s="9"/>
      <c r="H160" s="9"/>
      <c r="O160" s="9"/>
    </row>
    <row r="161" spans="1:15" ht="15.75" customHeight="1" x14ac:dyDescent="0.35">
      <c r="A161" s="9"/>
      <c r="H161" s="9"/>
      <c r="O161" s="9"/>
    </row>
    <row r="162" spans="1:15" ht="15.75" customHeight="1" x14ac:dyDescent="0.35">
      <c r="A162" s="9"/>
      <c r="H162" s="9"/>
      <c r="O162" s="9"/>
    </row>
    <row r="163" spans="1:15" ht="15.75" customHeight="1" x14ac:dyDescent="0.35">
      <c r="A163" s="9"/>
      <c r="H163" s="9"/>
      <c r="O163" s="9"/>
    </row>
    <row r="164" spans="1:15" ht="15.75" customHeight="1" x14ac:dyDescent="0.35">
      <c r="A164" s="9"/>
      <c r="H164" s="9"/>
      <c r="O164" s="9"/>
    </row>
    <row r="165" spans="1:15" ht="15.75" customHeight="1" x14ac:dyDescent="0.35">
      <c r="A165" s="9"/>
      <c r="H165" s="9"/>
      <c r="O165" s="9"/>
    </row>
    <row r="166" spans="1:15" ht="15.75" customHeight="1" x14ac:dyDescent="0.35">
      <c r="A166" s="9"/>
      <c r="H166" s="9"/>
      <c r="O166" s="9"/>
    </row>
    <row r="167" spans="1:15" ht="15.75" customHeight="1" x14ac:dyDescent="0.35">
      <c r="A167" s="9"/>
      <c r="H167" s="9"/>
      <c r="O167" s="9"/>
    </row>
    <row r="168" spans="1:15" ht="15.75" customHeight="1" x14ac:dyDescent="0.35">
      <c r="A168" s="9"/>
      <c r="H168" s="9"/>
      <c r="O168" s="9"/>
    </row>
    <row r="169" spans="1:15" ht="15.75" customHeight="1" x14ac:dyDescent="0.35">
      <c r="A169" s="9"/>
      <c r="H169" s="9"/>
      <c r="O169" s="9"/>
    </row>
    <row r="170" spans="1:15" ht="15.75" customHeight="1" x14ac:dyDescent="0.35">
      <c r="A170" s="9"/>
      <c r="H170" s="9"/>
      <c r="O170" s="9"/>
    </row>
    <row r="171" spans="1:15" ht="15.75" customHeight="1" x14ac:dyDescent="0.35">
      <c r="A171" s="9"/>
      <c r="H171" s="9"/>
      <c r="O171" s="9"/>
    </row>
    <row r="172" spans="1:15" ht="15.75" customHeight="1" x14ac:dyDescent="0.35">
      <c r="A172" s="9"/>
      <c r="H172" s="9"/>
      <c r="O172" s="9"/>
    </row>
    <row r="173" spans="1:15" ht="15.75" customHeight="1" x14ac:dyDescent="0.35">
      <c r="A173" s="9"/>
      <c r="H173" s="9"/>
      <c r="O173" s="9"/>
    </row>
    <row r="174" spans="1:15" ht="15.75" customHeight="1" x14ac:dyDescent="0.35">
      <c r="A174" s="9"/>
      <c r="H174" s="9"/>
      <c r="O174" s="9"/>
    </row>
    <row r="175" spans="1:15" ht="15.75" customHeight="1" x14ac:dyDescent="0.35">
      <c r="A175" s="9"/>
      <c r="H175" s="9"/>
      <c r="O175" s="9"/>
    </row>
    <row r="176" spans="1:15" ht="15.75" customHeight="1" x14ac:dyDescent="0.35">
      <c r="A176" s="9"/>
      <c r="H176" s="9"/>
      <c r="O176" s="9"/>
    </row>
    <row r="177" spans="1:15" ht="15.75" customHeight="1" x14ac:dyDescent="0.35">
      <c r="A177" s="9"/>
      <c r="H177" s="9"/>
      <c r="O177" s="9"/>
    </row>
    <row r="178" spans="1:15" ht="15.75" customHeight="1" x14ac:dyDescent="0.35">
      <c r="A178" s="9"/>
      <c r="H178" s="9"/>
      <c r="O178" s="9"/>
    </row>
    <row r="179" spans="1:15" ht="15.75" customHeight="1" x14ac:dyDescent="0.35">
      <c r="A179" s="9"/>
      <c r="H179" s="9"/>
      <c r="O179" s="9"/>
    </row>
    <row r="180" spans="1:15" ht="15.75" customHeight="1" x14ac:dyDescent="0.35">
      <c r="A180" s="9"/>
      <c r="H180" s="9"/>
      <c r="O180" s="9"/>
    </row>
    <row r="181" spans="1:15" ht="15.75" customHeight="1" x14ac:dyDescent="0.35">
      <c r="A181" s="9"/>
      <c r="H181" s="9"/>
      <c r="O181" s="9"/>
    </row>
    <row r="182" spans="1:15" ht="15.75" customHeight="1" x14ac:dyDescent="0.35">
      <c r="A182" s="9"/>
      <c r="H182" s="9"/>
      <c r="O182" s="9"/>
    </row>
    <row r="183" spans="1:15" ht="15.75" customHeight="1" x14ac:dyDescent="0.35">
      <c r="A183" s="9"/>
      <c r="H183" s="9"/>
      <c r="O183" s="9"/>
    </row>
    <row r="184" spans="1:15" ht="15.75" customHeight="1" x14ac:dyDescent="0.35">
      <c r="A184" s="9"/>
      <c r="H184" s="9"/>
      <c r="O184" s="9"/>
    </row>
    <row r="185" spans="1:15" ht="15.75" customHeight="1" x14ac:dyDescent="0.35">
      <c r="A185" s="9"/>
      <c r="H185" s="9"/>
      <c r="O185" s="9"/>
    </row>
    <row r="186" spans="1:15" ht="15.75" customHeight="1" x14ac:dyDescent="0.35">
      <c r="A186" s="9"/>
      <c r="H186" s="9"/>
      <c r="O186" s="9"/>
    </row>
    <row r="187" spans="1:15" ht="15.75" customHeight="1" x14ac:dyDescent="0.35">
      <c r="A187" s="9"/>
      <c r="H187" s="9"/>
      <c r="O187" s="9"/>
    </row>
    <row r="188" spans="1:15" ht="15.75" customHeight="1" x14ac:dyDescent="0.35">
      <c r="A188" s="9"/>
      <c r="H188" s="9"/>
      <c r="O188" s="9"/>
    </row>
    <row r="189" spans="1:15" ht="15.75" customHeight="1" x14ac:dyDescent="0.35">
      <c r="A189" s="9"/>
      <c r="H189" s="9"/>
      <c r="O189" s="9"/>
    </row>
    <row r="190" spans="1:15" ht="15.75" customHeight="1" x14ac:dyDescent="0.35">
      <c r="A190" s="9"/>
      <c r="H190" s="9"/>
      <c r="O190" s="9"/>
    </row>
    <row r="191" spans="1:15" ht="15.75" customHeight="1" x14ac:dyDescent="0.35">
      <c r="A191" s="9"/>
      <c r="H191" s="9"/>
      <c r="O191" s="9"/>
    </row>
    <row r="192" spans="1:15" ht="15.75" customHeight="1" x14ac:dyDescent="0.35">
      <c r="A192" s="9"/>
      <c r="H192" s="9"/>
      <c r="O192" s="9"/>
    </row>
    <row r="193" spans="1:15" ht="15.75" customHeight="1" x14ac:dyDescent="0.35">
      <c r="A193" s="9"/>
      <c r="H193" s="9"/>
      <c r="O193" s="9"/>
    </row>
    <row r="194" spans="1:15" ht="15.75" customHeight="1" x14ac:dyDescent="0.35">
      <c r="A194" s="9"/>
      <c r="H194" s="9"/>
      <c r="O194" s="9"/>
    </row>
    <row r="195" spans="1:15" ht="15.75" customHeight="1" x14ac:dyDescent="0.35">
      <c r="A195" s="9"/>
      <c r="H195" s="9"/>
      <c r="O195" s="9"/>
    </row>
    <row r="196" spans="1:15" ht="15.75" customHeight="1" x14ac:dyDescent="0.35">
      <c r="A196" s="9"/>
      <c r="H196" s="9"/>
      <c r="O196" s="9"/>
    </row>
    <row r="197" spans="1:15" ht="15.75" customHeight="1" x14ac:dyDescent="0.35">
      <c r="A197" s="9"/>
      <c r="H197" s="9"/>
      <c r="O197" s="9"/>
    </row>
    <row r="198" spans="1:15" ht="15.75" customHeight="1" x14ac:dyDescent="0.35">
      <c r="A198" s="9"/>
      <c r="H198" s="9"/>
      <c r="O198" s="9"/>
    </row>
    <row r="199" spans="1:15" ht="15.75" customHeight="1" x14ac:dyDescent="0.35">
      <c r="A199" s="9"/>
      <c r="H199" s="9"/>
      <c r="O199" s="9"/>
    </row>
    <row r="200" spans="1:15" ht="15.75" customHeight="1" x14ac:dyDescent="0.35">
      <c r="A200" s="9"/>
      <c r="H200" s="9"/>
      <c r="O200" s="9"/>
    </row>
    <row r="201" spans="1:15" ht="15.75" customHeight="1" x14ac:dyDescent="0.35">
      <c r="A201" s="9"/>
      <c r="H201" s="9"/>
      <c r="O201" s="9"/>
    </row>
    <row r="202" spans="1:15" ht="15.75" customHeight="1" x14ac:dyDescent="0.35">
      <c r="A202" s="9"/>
      <c r="H202" s="9"/>
      <c r="O202" s="9"/>
    </row>
    <row r="203" spans="1:15" ht="15.75" customHeight="1" x14ac:dyDescent="0.35">
      <c r="A203" s="9"/>
      <c r="H203" s="9"/>
      <c r="O203" s="9"/>
    </row>
    <row r="204" spans="1:15" ht="15.75" customHeight="1" x14ac:dyDescent="0.35">
      <c r="A204" s="9"/>
      <c r="H204" s="9"/>
      <c r="O204" s="9"/>
    </row>
    <row r="205" spans="1:15" ht="15.75" customHeight="1" x14ac:dyDescent="0.35">
      <c r="A205" s="9"/>
      <c r="H205" s="9"/>
      <c r="O205" s="9"/>
    </row>
    <row r="206" spans="1:15" ht="15.75" customHeight="1" x14ac:dyDescent="0.35">
      <c r="A206" s="9"/>
      <c r="H206" s="9"/>
      <c r="O206" s="9"/>
    </row>
    <row r="207" spans="1:15" ht="15.75" customHeight="1" x14ac:dyDescent="0.35">
      <c r="A207" s="9"/>
      <c r="H207" s="9"/>
      <c r="O207" s="9"/>
    </row>
    <row r="208" spans="1:15" ht="15.75" customHeight="1" x14ac:dyDescent="0.35">
      <c r="A208" s="9"/>
      <c r="H208" s="9"/>
      <c r="O208" s="9"/>
    </row>
    <row r="209" spans="1:15" ht="15.75" customHeight="1" x14ac:dyDescent="0.35">
      <c r="A209" s="9"/>
      <c r="H209" s="9"/>
      <c r="O209" s="9"/>
    </row>
    <row r="210" spans="1:15" ht="15.75" customHeight="1" x14ac:dyDescent="0.35">
      <c r="A210" s="9"/>
      <c r="H210" s="9"/>
      <c r="O210" s="9"/>
    </row>
    <row r="211" spans="1:15" ht="15.75" customHeight="1" x14ac:dyDescent="0.35">
      <c r="A211" s="9"/>
      <c r="H211" s="9"/>
      <c r="O211" s="9"/>
    </row>
    <row r="212" spans="1:15" ht="15.75" customHeight="1" x14ac:dyDescent="0.35">
      <c r="A212" s="9"/>
      <c r="H212" s="9"/>
      <c r="O212" s="9"/>
    </row>
    <row r="213" spans="1:15" ht="15.75" customHeight="1" x14ac:dyDescent="0.35">
      <c r="A213" s="9"/>
      <c r="H213" s="9"/>
      <c r="O213" s="9"/>
    </row>
    <row r="214" spans="1:15" ht="15.75" customHeight="1" x14ac:dyDescent="0.35">
      <c r="A214" s="9"/>
      <c r="H214" s="9"/>
      <c r="O214" s="9"/>
    </row>
    <row r="215" spans="1:15" ht="15.75" customHeight="1" x14ac:dyDescent="0.35">
      <c r="A215" s="9"/>
      <c r="H215" s="9"/>
      <c r="O215" s="9"/>
    </row>
    <row r="216" spans="1:15" ht="15.75" customHeight="1" x14ac:dyDescent="0.35">
      <c r="A216" s="9"/>
      <c r="H216" s="9"/>
      <c r="O216" s="9"/>
    </row>
    <row r="217" spans="1:15" ht="15.75" customHeight="1" x14ac:dyDescent="0.35">
      <c r="A217" s="9"/>
      <c r="H217" s="9"/>
      <c r="O217" s="9"/>
    </row>
    <row r="218" spans="1:15" ht="15.75" customHeight="1" x14ac:dyDescent="0.35">
      <c r="A218" s="9"/>
      <c r="H218" s="9"/>
      <c r="O218" s="9"/>
    </row>
    <row r="219" spans="1:15" ht="15.75" customHeight="1" x14ac:dyDescent="0.35">
      <c r="A219" s="9"/>
      <c r="H219" s="9"/>
      <c r="O219" s="9"/>
    </row>
    <row r="220" spans="1:15" ht="15.75" customHeight="1" x14ac:dyDescent="0.35">
      <c r="A220" s="9"/>
      <c r="H220" s="9"/>
      <c r="O220" s="9"/>
    </row>
    <row r="221" spans="1:15" ht="15.75" customHeight="1" x14ac:dyDescent="0.35">
      <c r="A221" s="9"/>
      <c r="H221" s="9"/>
      <c r="O221" s="9"/>
    </row>
    <row r="222" spans="1:15" ht="15.75" customHeight="1" x14ac:dyDescent="0.35">
      <c r="A222" s="9"/>
      <c r="H222" s="9"/>
      <c r="O222" s="9"/>
    </row>
    <row r="223" spans="1:15" ht="15.75" customHeight="1" x14ac:dyDescent="0.35">
      <c r="A223" s="9"/>
      <c r="H223" s="9"/>
      <c r="O223" s="9"/>
    </row>
    <row r="224" spans="1:15" ht="15.75" customHeight="1" x14ac:dyDescent="0.35">
      <c r="A224" s="9"/>
      <c r="H224" s="9"/>
      <c r="O224" s="9"/>
    </row>
    <row r="225" spans="1:15" ht="15.75" customHeight="1" x14ac:dyDescent="0.35">
      <c r="A225" s="9"/>
      <c r="H225" s="9"/>
      <c r="O225" s="9"/>
    </row>
    <row r="226" spans="1:15" ht="15.75" customHeight="1" x14ac:dyDescent="0.35">
      <c r="A226" s="9"/>
      <c r="H226" s="9"/>
      <c r="O226" s="9"/>
    </row>
    <row r="227" spans="1:15" ht="15.75" customHeight="1" x14ac:dyDescent="0.35">
      <c r="A227" s="9"/>
      <c r="H227" s="9"/>
      <c r="O227" s="9"/>
    </row>
    <row r="228" spans="1:15" ht="15.75" customHeight="1" x14ac:dyDescent="0.35">
      <c r="A228" s="9"/>
      <c r="H228" s="9"/>
      <c r="O228" s="9"/>
    </row>
    <row r="229" spans="1:15" ht="15.75" customHeight="1" x14ac:dyDescent="0.35">
      <c r="A229" s="9"/>
      <c r="H229" s="9"/>
      <c r="O229" s="9"/>
    </row>
    <row r="230" spans="1:15" ht="15.75" customHeight="1" x14ac:dyDescent="0.35">
      <c r="A230" s="9"/>
      <c r="H230" s="9"/>
      <c r="O230" s="9"/>
    </row>
    <row r="231" spans="1:15" ht="15.75" customHeight="1" x14ac:dyDescent="0.35">
      <c r="A231" s="9"/>
      <c r="H231" s="9"/>
      <c r="O231" s="9"/>
    </row>
    <row r="232" spans="1:15" ht="15.75" customHeight="1" x14ac:dyDescent="0.35">
      <c r="A232" s="9"/>
      <c r="H232" s="9"/>
      <c r="O232" s="9"/>
    </row>
    <row r="233" spans="1:15" ht="15.75" customHeight="1" x14ac:dyDescent="0.35">
      <c r="A233" s="9"/>
      <c r="H233" s="9"/>
      <c r="O233" s="9"/>
    </row>
    <row r="234" spans="1:15" ht="15.75" customHeight="1" x14ac:dyDescent="0.35">
      <c r="A234" s="9"/>
      <c r="H234" s="9"/>
      <c r="O234" s="9"/>
    </row>
    <row r="235" spans="1:15" ht="15.75" customHeight="1" x14ac:dyDescent="0.35">
      <c r="A235" s="9"/>
      <c r="H235" s="9"/>
      <c r="O235" s="9"/>
    </row>
    <row r="236" spans="1:15" ht="15.75" customHeight="1" x14ac:dyDescent="0.35">
      <c r="A236" s="9"/>
      <c r="H236" s="9"/>
      <c r="O236" s="9"/>
    </row>
    <row r="237" spans="1:15" ht="15.75" customHeight="1" x14ac:dyDescent="0.35">
      <c r="A237" s="9"/>
      <c r="H237" s="9"/>
      <c r="O237" s="9"/>
    </row>
    <row r="238" spans="1:15" ht="15.75" customHeight="1" x14ac:dyDescent="0.35">
      <c r="A238" s="9"/>
      <c r="H238" s="9"/>
      <c r="O238" s="9"/>
    </row>
    <row r="239" spans="1:15" ht="15.75" customHeight="1" x14ac:dyDescent="0.35">
      <c r="A239" s="9"/>
      <c r="H239" s="9"/>
      <c r="O239" s="9"/>
    </row>
    <row r="240" spans="1:15" ht="15.75" customHeight="1" x14ac:dyDescent="0.35">
      <c r="A240" s="9"/>
      <c r="H240" s="9"/>
      <c r="O240" s="9"/>
    </row>
    <row r="241" spans="1:15" ht="15.75" customHeight="1" x14ac:dyDescent="0.35">
      <c r="A241" s="9"/>
      <c r="H241" s="9"/>
      <c r="O241" s="9"/>
    </row>
    <row r="242" spans="1:15" ht="15.75" customHeight="1" x14ac:dyDescent="0.35">
      <c r="A242" s="9"/>
      <c r="H242" s="9"/>
      <c r="O242" s="9"/>
    </row>
    <row r="243" spans="1:15" ht="15.75" customHeight="1" x14ac:dyDescent="0.35">
      <c r="A243" s="9"/>
      <c r="H243" s="9"/>
      <c r="O243" s="9"/>
    </row>
    <row r="244" spans="1:15" ht="15.75" customHeight="1" x14ac:dyDescent="0.35">
      <c r="A244" s="9"/>
      <c r="H244" s="9"/>
      <c r="O244" s="9"/>
    </row>
    <row r="245" spans="1:15" ht="15.75" customHeight="1" x14ac:dyDescent="0.35">
      <c r="A245" s="9"/>
      <c r="H245" s="9"/>
      <c r="O245" s="9"/>
    </row>
    <row r="246" spans="1:15" ht="15.75" customHeight="1" x14ac:dyDescent="0.35">
      <c r="A246" s="9"/>
      <c r="H246" s="9"/>
      <c r="O246" s="9"/>
    </row>
    <row r="247" spans="1:15" ht="15.75" customHeight="1" x14ac:dyDescent="0.35">
      <c r="A247" s="9"/>
      <c r="H247" s="9"/>
      <c r="O247" s="9"/>
    </row>
    <row r="248" spans="1:15" ht="15.75" customHeight="1" x14ac:dyDescent="0.35">
      <c r="A248" s="9"/>
      <c r="H248" s="9"/>
      <c r="O248" s="9"/>
    </row>
    <row r="249" spans="1:15" ht="15.75" customHeight="1" x14ac:dyDescent="0.35">
      <c r="A249" s="9"/>
      <c r="H249" s="9"/>
      <c r="O249" s="9"/>
    </row>
    <row r="250" spans="1:15" ht="15.75" customHeight="1" x14ac:dyDescent="0.35">
      <c r="A250" s="9"/>
      <c r="H250" s="9"/>
      <c r="O250" s="9"/>
    </row>
    <row r="251" spans="1:15" ht="15.75" customHeight="1" x14ac:dyDescent="0.35">
      <c r="A251" s="9"/>
      <c r="H251" s="9"/>
      <c r="O251" s="9"/>
    </row>
    <row r="252" spans="1:15" ht="15.75" customHeight="1" x14ac:dyDescent="0.35">
      <c r="A252" s="9"/>
      <c r="H252" s="9"/>
      <c r="O252" s="9"/>
    </row>
    <row r="253" spans="1:15" ht="15.75" customHeight="1" x14ac:dyDescent="0.35">
      <c r="A253" s="9"/>
      <c r="H253" s="9"/>
      <c r="O253" s="9"/>
    </row>
    <row r="254" spans="1:15" ht="15.75" customHeight="1" x14ac:dyDescent="0.35">
      <c r="A254" s="9"/>
      <c r="H254" s="9"/>
      <c r="O254" s="9"/>
    </row>
    <row r="255" spans="1:15" ht="15.75" customHeight="1" x14ac:dyDescent="0.35">
      <c r="A255" s="9"/>
      <c r="H255" s="9"/>
      <c r="O255" s="9"/>
    </row>
    <row r="256" spans="1:15" ht="15.75" customHeight="1" x14ac:dyDescent="0.35">
      <c r="A256" s="9"/>
      <c r="H256" s="9"/>
      <c r="O256" s="9"/>
    </row>
    <row r="257" spans="1:15" ht="15.75" customHeight="1" x14ac:dyDescent="0.35">
      <c r="A257" s="9"/>
      <c r="H257" s="9"/>
      <c r="O257" s="9"/>
    </row>
    <row r="258" spans="1:15" ht="15.75" customHeight="1" x14ac:dyDescent="0.35">
      <c r="A258" s="9"/>
      <c r="H258" s="9"/>
      <c r="O258" s="9"/>
    </row>
    <row r="259" spans="1:15" ht="15.75" customHeight="1" x14ac:dyDescent="0.35">
      <c r="A259" s="9"/>
      <c r="H259" s="9"/>
      <c r="O259" s="9"/>
    </row>
    <row r="260" spans="1:15" ht="15.75" customHeight="1" x14ac:dyDescent="0.35">
      <c r="A260" s="9"/>
      <c r="H260" s="9"/>
      <c r="O260" s="9"/>
    </row>
    <row r="261" spans="1:15" ht="15.75" customHeight="1" x14ac:dyDescent="0.35">
      <c r="A261" s="9"/>
      <c r="H261" s="9"/>
      <c r="O261" s="9"/>
    </row>
    <row r="262" spans="1:15" ht="15.75" customHeight="1" x14ac:dyDescent="0.35">
      <c r="A262" s="9"/>
      <c r="H262" s="9"/>
      <c r="O262" s="9"/>
    </row>
    <row r="263" spans="1:15" ht="15.75" customHeight="1" x14ac:dyDescent="0.35">
      <c r="A263" s="9"/>
      <c r="H263" s="9"/>
      <c r="O263" s="9"/>
    </row>
    <row r="264" spans="1:15" ht="15.75" customHeight="1" x14ac:dyDescent="0.35">
      <c r="A264" s="9"/>
      <c r="H264" s="9"/>
      <c r="O264" s="9"/>
    </row>
    <row r="265" spans="1:15" ht="15.75" customHeight="1" x14ac:dyDescent="0.35">
      <c r="A265" s="9"/>
      <c r="H265" s="9"/>
      <c r="O265" s="9"/>
    </row>
    <row r="266" spans="1:15" ht="15.75" customHeight="1" x14ac:dyDescent="0.35">
      <c r="A266" s="9"/>
      <c r="H266" s="9"/>
      <c r="O266" s="9"/>
    </row>
    <row r="267" spans="1:15" ht="15.75" customHeight="1" x14ac:dyDescent="0.35">
      <c r="A267" s="9"/>
      <c r="H267" s="9"/>
      <c r="O267" s="9"/>
    </row>
    <row r="268" spans="1:15" ht="15.75" customHeight="1" x14ac:dyDescent="0.35">
      <c r="A268" s="9"/>
      <c r="H268" s="9"/>
      <c r="O268" s="9"/>
    </row>
    <row r="269" spans="1:15" ht="15.75" customHeight="1" x14ac:dyDescent="0.35">
      <c r="A269" s="9"/>
      <c r="H269" s="9"/>
      <c r="O269" s="9"/>
    </row>
    <row r="270" spans="1:15" ht="15.75" customHeight="1" x14ac:dyDescent="0.35">
      <c r="A270" s="9"/>
      <c r="H270" s="9"/>
      <c r="O270" s="9"/>
    </row>
    <row r="271" spans="1:15" ht="15.75" customHeight="1" x14ac:dyDescent="0.35">
      <c r="A271" s="9"/>
      <c r="H271" s="9"/>
      <c r="O271" s="9"/>
    </row>
    <row r="272" spans="1:15" ht="15.75" customHeight="1" x14ac:dyDescent="0.35">
      <c r="A272" s="9"/>
      <c r="H272" s="9"/>
      <c r="O272" s="9"/>
    </row>
    <row r="273" spans="1:15" ht="15.75" customHeight="1" x14ac:dyDescent="0.35">
      <c r="A273" s="9"/>
      <c r="H273" s="9"/>
      <c r="O273" s="9"/>
    </row>
    <row r="274" spans="1:15" ht="15.75" customHeight="1" x14ac:dyDescent="0.35">
      <c r="A274" s="9"/>
      <c r="H274" s="9"/>
      <c r="O274" s="9"/>
    </row>
    <row r="275" spans="1:15" ht="15.75" customHeight="1" x14ac:dyDescent="0.35">
      <c r="A275" s="9"/>
      <c r="H275" s="9"/>
      <c r="O275" s="9"/>
    </row>
    <row r="276" spans="1:15" ht="15.75" customHeight="1" x14ac:dyDescent="0.35">
      <c r="A276" s="9"/>
      <c r="H276" s="9"/>
      <c r="O276" s="9"/>
    </row>
    <row r="277" spans="1:15" ht="15.75" customHeight="1" x14ac:dyDescent="0.35">
      <c r="A277" s="9"/>
      <c r="H277" s="9"/>
      <c r="O277" s="9"/>
    </row>
    <row r="278" spans="1:15" ht="15.75" customHeight="1" x14ac:dyDescent="0.35">
      <c r="A278" s="9"/>
      <c r="H278" s="9"/>
      <c r="O278" s="9"/>
    </row>
    <row r="279" spans="1:15" ht="15.75" customHeight="1" x14ac:dyDescent="0.35">
      <c r="A279" s="9"/>
      <c r="H279" s="9"/>
      <c r="O279" s="9"/>
    </row>
    <row r="280" spans="1:15" ht="15.75" customHeight="1" x14ac:dyDescent="0.35">
      <c r="A280" s="9"/>
      <c r="H280" s="9"/>
      <c r="O280" s="9"/>
    </row>
    <row r="281" spans="1:15" ht="15.75" customHeight="1" x14ac:dyDescent="0.35">
      <c r="A281" s="9"/>
      <c r="H281" s="9"/>
      <c r="O281" s="9"/>
    </row>
    <row r="282" spans="1:15" ht="15.75" customHeight="1" x14ac:dyDescent="0.35">
      <c r="A282" s="9"/>
      <c r="H282" s="9"/>
      <c r="O282" s="9"/>
    </row>
    <row r="283" spans="1:15" ht="15.75" customHeight="1" x14ac:dyDescent="0.35">
      <c r="A283" s="9"/>
      <c r="H283" s="9"/>
      <c r="O283" s="9"/>
    </row>
    <row r="284" spans="1:15" ht="15.75" customHeight="1" x14ac:dyDescent="0.35">
      <c r="A284" s="9"/>
      <c r="H284" s="9"/>
      <c r="O284" s="9"/>
    </row>
    <row r="285" spans="1:15" ht="15.75" customHeight="1" x14ac:dyDescent="0.35">
      <c r="A285" s="9"/>
      <c r="H285" s="9"/>
      <c r="O285" s="9"/>
    </row>
    <row r="286" spans="1:15" ht="15.75" customHeight="1" x14ac:dyDescent="0.35">
      <c r="A286" s="9"/>
      <c r="H286" s="9"/>
      <c r="O286" s="9"/>
    </row>
    <row r="287" spans="1:15" ht="15.75" customHeight="1" x14ac:dyDescent="0.35">
      <c r="A287" s="9"/>
      <c r="H287" s="9"/>
      <c r="O287" s="9"/>
    </row>
    <row r="288" spans="1:15" ht="15.75" customHeight="1" x14ac:dyDescent="0.35">
      <c r="A288" s="9"/>
      <c r="H288" s="9"/>
      <c r="O288" s="9"/>
    </row>
    <row r="289" spans="1:15" ht="15.75" customHeight="1" x14ac:dyDescent="0.35">
      <c r="A289" s="9"/>
      <c r="H289" s="9"/>
      <c r="O289" s="9"/>
    </row>
    <row r="290" spans="1:15" ht="15.75" customHeight="1" x14ac:dyDescent="0.35">
      <c r="A290" s="9"/>
      <c r="H290" s="9"/>
      <c r="O290" s="9"/>
    </row>
    <row r="291" spans="1:15" ht="15.75" customHeight="1" x14ac:dyDescent="0.35">
      <c r="A291" s="9"/>
      <c r="H291" s="9"/>
      <c r="O291" s="9"/>
    </row>
    <row r="292" spans="1:15" ht="15.75" customHeight="1" x14ac:dyDescent="0.35">
      <c r="A292" s="9"/>
      <c r="H292" s="9"/>
      <c r="O292" s="9"/>
    </row>
    <row r="293" spans="1:15" ht="15.75" customHeight="1" x14ac:dyDescent="0.35">
      <c r="A293" s="9"/>
      <c r="H293" s="9"/>
      <c r="O293" s="9"/>
    </row>
    <row r="294" spans="1:15" ht="15.75" customHeight="1" x14ac:dyDescent="0.35">
      <c r="A294" s="9"/>
      <c r="H294" s="9"/>
      <c r="O294" s="9"/>
    </row>
    <row r="295" spans="1:15" ht="15.75" customHeight="1" x14ac:dyDescent="0.35">
      <c r="A295" s="9"/>
      <c r="H295" s="9"/>
      <c r="O295" s="9"/>
    </row>
    <row r="296" spans="1:15" ht="15.75" customHeight="1" x14ac:dyDescent="0.35">
      <c r="A296" s="9"/>
      <c r="H296" s="9"/>
      <c r="O296" s="9"/>
    </row>
    <row r="297" spans="1:15" ht="15.75" customHeight="1" x14ac:dyDescent="0.35">
      <c r="A297" s="9"/>
      <c r="H297" s="9"/>
      <c r="O297" s="9"/>
    </row>
    <row r="298" spans="1:15" ht="15.75" customHeight="1" x14ac:dyDescent="0.35">
      <c r="A298" s="9"/>
      <c r="H298" s="9"/>
      <c r="O298" s="9"/>
    </row>
    <row r="299" spans="1:15" ht="15.75" customHeight="1" x14ac:dyDescent="0.35">
      <c r="A299" s="9"/>
      <c r="H299" s="9"/>
      <c r="O299" s="9"/>
    </row>
    <row r="300" spans="1:15" ht="15.75" customHeight="1" x14ac:dyDescent="0.35">
      <c r="A300" s="9"/>
      <c r="H300" s="9"/>
      <c r="O300" s="9"/>
    </row>
    <row r="301" spans="1:15" ht="15.75" customHeight="1" x14ac:dyDescent="0.35">
      <c r="A301" s="9"/>
      <c r="H301" s="9"/>
      <c r="O301" s="9"/>
    </row>
    <row r="302" spans="1:15" ht="15.75" customHeight="1" x14ac:dyDescent="0.35">
      <c r="A302" s="9"/>
      <c r="H302" s="9"/>
      <c r="O302" s="9"/>
    </row>
    <row r="303" spans="1:15" ht="15.75" customHeight="1" x14ac:dyDescent="0.35">
      <c r="A303" s="9"/>
      <c r="H303" s="9"/>
      <c r="O303" s="9"/>
    </row>
    <row r="304" spans="1:15" ht="15.75" customHeight="1" x14ac:dyDescent="0.35">
      <c r="A304" s="9"/>
      <c r="H304" s="9"/>
      <c r="O304" s="9"/>
    </row>
    <row r="305" spans="1:15" ht="15.75" customHeight="1" x14ac:dyDescent="0.35">
      <c r="A305" s="9"/>
      <c r="H305" s="9"/>
      <c r="O305" s="9"/>
    </row>
    <row r="306" spans="1:15" ht="15.75" customHeight="1" x14ac:dyDescent="0.35">
      <c r="A306" s="9"/>
      <c r="H306" s="9"/>
      <c r="O306" s="9"/>
    </row>
    <row r="307" spans="1:15" ht="15.75" customHeight="1" x14ac:dyDescent="0.35">
      <c r="A307" s="9"/>
      <c r="H307" s="9"/>
      <c r="O307" s="9"/>
    </row>
    <row r="308" spans="1:15" ht="15.75" customHeight="1" x14ac:dyDescent="0.35">
      <c r="A308" s="9"/>
      <c r="H308" s="9"/>
      <c r="O308" s="9"/>
    </row>
    <row r="309" spans="1:15" ht="15.75" customHeight="1" x14ac:dyDescent="0.35">
      <c r="A309" s="9"/>
      <c r="H309" s="9"/>
      <c r="O309" s="9"/>
    </row>
    <row r="310" spans="1:15" ht="15.75" customHeight="1" x14ac:dyDescent="0.35">
      <c r="A310" s="9"/>
      <c r="H310" s="9"/>
      <c r="O310" s="9"/>
    </row>
    <row r="311" spans="1:15" ht="15.75" customHeight="1" x14ac:dyDescent="0.35">
      <c r="A311" s="9"/>
      <c r="H311" s="9"/>
      <c r="O311" s="9"/>
    </row>
    <row r="312" spans="1:15" ht="15.75" customHeight="1" x14ac:dyDescent="0.35">
      <c r="A312" s="9"/>
      <c r="H312" s="9"/>
      <c r="O312" s="9"/>
    </row>
    <row r="313" spans="1:15" ht="15.75" customHeight="1" x14ac:dyDescent="0.35">
      <c r="A313" s="9"/>
      <c r="H313" s="9"/>
      <c r="O313" s="9"/>
    </row>
    <row r="314" spans="1:15" ht="15.75" customHeight="1" x14ac:dyDescent="0.35">
      <c r="A314" s="9"/>
      <c r="H314" s="9"/>
      <c r="O314" s="9"/>
    </row>
    <row r="315" spans="1:15" ht="15.75" customHeight="1" x14ac:dyDescent="0.35">
      <c r="A315" s="9"/>
      <c r="H315" s="9"/>
      <c r="O315" s="9"/>
    </row>
    <row r="316" spans="1:15" ht="15.75" customHeight="1" x14ac:dyDescent="0.35">
      <c r="A316" s="9"/>
      <c r="H316" s="9"/>
      <c r="O316" s="9"/>
    </row>
    <row r="317" spans="1:15" ht="15.75" customHeight="1" x14ac:dyDescent="0.35">
      <c r="A317" s="9"/>
      <c r="H317" s="9"/>
      <c r="O317" s="9"/>
    </row>
    <row r="318" spans="1:15" ht="15.75" customHeight="1" x14ac:dyDescent="0.35">
      <c r="A318" s="9"/>
      <c r="H318" s="9"/>
      <c r="O318" s="9"/>
    </row>
    <row r="319" spans="1:15" ht="15.75" customHeight="1" x14ac:dyDescent="0.35">
      <c r="A319" s="9"/>
      <c r="H319" s="9"/>
      <c r="O319" s="9"/>
    </row>
    <row r="320" spans="1:15" ht="15.75" customHeight="1" x14ac:dyDescent="0.35">
      <c r="A320" s="9"/>
      <c r="H320" s="9"/>
      <c r="O320" s="9"/>
    </row>
    <row r="321" spans="1:15" ht="15.75" customHeight="1" x14ac:dyDescent="0.35">
      <c r="A321" s="9"/>
      <c r="H321" s="9"/>
      <c r="O321" s="9"/>
    </row>
    <row r="322" spans="1:15" ht="15.75" customHeight="1" x14ac:dyDescent="0.35">
      <c r="A322" s="9"/>
      <c r="H322" s="9"/>
      <c r="O322" s="9"/>
    </row>
    <row r="323" spans="1:15" ht="15.75" customHeight="1" x14ac:dyDescent="0.35">
      <c r="A323" s="9"/>
      <c r="H323" s="9"/>
      <c r="O323" s="9"/>
    </row>
    <row r="324" spans="1:15" ht="15.75" customHeight="1" x14ac:dyDescent="0.35">
      <c r="A324" s="9"/>
      <c r="H324" s="9"/>
      <c r="O324" s="9"/>
    </row>
    <row r="325" spans="1:15" ht="15.75" customHeight="1" x14ac:dyDescent="0.35">
      <c r="A325" s="9"/>
      <c r="H325" s="9"/>
      <c r="O325" s="9"/>
    </row>
    <row r="326" spans="1:15" ht="15.75" customHeight="1" x14ac:dyDescent="0.35">
      <c r="A326" s="9"/>
      <c r="H326" s="9"/>
      <c r="O326" s="9"/>
    </row>
    <row r="327" spans="1:15" ht="15.75" customHeight="1" x14ac:dyDescent="0.35">
      <c r="A327" s="9"/>
      <c r="H327" s="9"/>
      <c r="O327" s="9"/>
    </row>
    <row r="328" spans="1:15" ht="15.75" customHeight="1" x14ac:dyDescent="0.35">
      <c r="A328" s="9"/>
      <c r="H328" s="9"/>
      <c r="O328" s="9"/>
    </row>
    <row r="329" spans="1:15" ht="15.75" customHeight="1" x14ac:dyDescent="0.35">
      <c r="A329" s="9"/>
      <c r="H329" s="9"/>
      <c r="O329" s="9"/>
    </row>
    <row r="330" spans="1:15" ht="15.75" customHeight="1" x14ac:dyDescent="0.35">
      <c r="A330" s="9"/>
      <c r="H330" s="9"/>
      <c r="O330" s="9"/>
    </row>
    <row r="331" spans="1:15" ht="15.75" customHeight="1" x14ac:dyDescent="0.35">
      <c r="A331" s="9"/>
      <c r="H331" s="9"/>
      <c r="O331" s="9"/>
    </row>
    <row r="332" spans="1:15" ht="15.75" customHeight="1" x14ac:dyDescent="0.35">
      <c r="A332" s="9"/>
      <c r="H332" s="9"/>
      <c r="O332" s="9"/>
    </row>
    <row r="333" spans="1:15" ht="15.75" customHeight="1" x14ac:dyDescent="0.35">
      <c r="A333" s="9"/>
      <c r="H333" s="9"/>
      <c r="O333" s="9"/>
    </row>
    <row r="334" spans="1:15" ht="15.75" customHeight="1" x14ac:dyDescent="0.35">
      <c r="A334" s="9"/>
      <c r="H334" s="9"/>
      <c r="O334" s="9"/>
    </row>
    <row r="335" spans="1:15" ht="15.75" customHeight="1" x14ac:dyDescent="0.35">
      <c r="A335" s="9"/>
      <c r="H335" s="9"/>
      <c r="O335" s="9"/>
    </row>
    <row r="336" spans="1:15" ht="15.75" customHeight="1" x14ac:dyDescent="0.35">
      <c r="A336" s="9"/>
      <c r="H336" s="9"/>
      <c r="O336" s="9"/>
    </row>
    <row r="337" spans="1:15" ht="15.75" customHeight="1" x14ac:dyDescent="0.35">
      <c r="A337" s="9"/>
      <c r="H337" s="9"/>
      <c r="O337" s="9"/>
    </row>
    <row r="338" spans="1:15" ht="15.75" customHeight="1" x14ac:dyDescent="0.35">
      <c r="A338" s="9"/>
      <c r="H338" s="9"/>
      <c r="O338" s="9"/>
    </row>
    <row r="339" spans="1:15" ht="15.75" customHeight="1" x14ac:dyDescent="0.35">
      <c r="A339" s="9"/>
      <c r="H339" s="9"/>
      <c r="O339" s="9"/>
    </row>
    <row r="340" spans="1:15" ht="15.75" customHeight="1" x14ac:dyDescent="0.35">
      <c r="A340" s="9"/>
      <c r="H340" s="9"/>
      <c r="O340" s="9"/>
    </row>
    <row r="341" spans="1:15" ht="15.75" customHeight="1" x14ac:dyDescent="0.35">
      <c r="A341" s="9"/>
      <c r="H341" s="9"/>
      <c r="O341" s="9"/>
    </row>
    <row r="342" spans="1:15" ht="15.75" customHeight="1" x14ac:dyDescent="0.35">
      <c r="A342" s="9"/>
      <c r="H342" s="9"/>
      <c r="O342" s="9"/>
    </row>
    <row r="343" spans="1:15" ht="15.75" customHeight="1" x14ac:dyDescent="0.35">
      <c r="A343" s="9"/>
      <c r="H343" s="9"/>
      <c r="O343" s="9"/>
    </row>
    <row r="344" spans="1:15" ht="15.75" customHeight="1" x14ac:dyDescent="0.35">
      <c r="A344" s="9"/>
      <c r="H344" s="9"/>
      <c r="O344" s="9"/>
    </row>
    <row r="345" spans="1:15" ht="15.75" customHeight="1" x14ac:dyDescent="0.35">
      <c r="A345" s="9"/>
      <c r="H345" s="9"/>
      <c r="O345" s="9"/>
    </row>
    <row r="346" spans="1:15" ht="15.75" customHeight="1" x14ac:dyDescent="0.35">
      <c r="A346" s="9"/>
      <c r="H346" s="9"/>
      <c r="O346" s="9"/>
    </row>
    <row r="347" spans="1:15" ht="15.75" customHeight="1" x14ac:dyDescent="0.35">
      <c r="A347" s="9"/>
      <c r="H347" s="9"/>
      <c r="O347" s="9"/>
    </row>
    <row r="348" spans="1:15" ht="15.75" customHeight="1" x14ac:dyDescent="0.35">
      <c r="A348" s="9"/>
      <c r="H348" s="9"/>
      <c r="O348" s="9"/>
    </row>
    <row r="349" spans="1:15" ht="15.75" customHeight="1" x14ac:dyDescent="0.35">
      <c r="A349" s="9"/>
      <c r="H349" s="9"/>
      <c r="O349" s="9"/>
    </row>
    <row r="350" spans="1:15" ht="15.75" customHeight="1" x14ac:dyDescent="0.35">
      <c r="A350" s="9"/>
      <c r="H350" s="9"/>
      <c r="O350" s="9"/>
    </row>
    <row r="351" spans="1:15" ht="15.75" customHeight="1" x14ac:dyDescent="0.35">
      <c r="A351" s="9"/>
      <c r="H351" s="9"/>
      <c r="O351" s="9"/>
    </row>
    <row r="352" spans="1:15" ht="15.75" customHeight="1" x14ac:dyDescent="0.35">
      <c r="A352" s="9"/>
      <c r="H352" s="9"/>
      <c r="O352" s="9"/>
    </row>
    <row r="353" spans="1:15" ht="15.75" customHeight="1" x14ac:dyDescent="0.35">
      <c r="A353" s="9"/>
      <c r="H353" s="9"/>
      <c r="O353" s="9"/>
    </row>
    <row r="354" spans="1:15" ht="15.75" customHeight="1" x14ac:dyDescent="0.35">
      <c r="A354" s="9"/>
      <c r="H354" s="9"/>
      <c r="O354" s="9"/>
    </row>
    <row r="355" spans="1:15" ht="15.75" customHeight="1" x14ac:dyDescent="0.35">
      <c r="A355" s="9"/>
      <c r="H355" s="9"/>
      <c r="O355" s="9"/>
    </row>
    <row r="356" spans="1:15" ht="15.75" customHeight="1" x14ac:dyDescent="0.35">
      <c r="A356" s="9"/>
      <c r="H356" s="9"/>
      <c r="O356" s="9"/>
    </row>
    <row r="357" spans="1:15" ht="15.75" customHeight="1" x14ac:dyDescent="0.35">
      <c r="A357" s="9"/>
      <c r="H357" s="9"/>
      <c r="O357" s="9"/>
    </row>
    <row r="358" spans="1:15" ht="15.75" customHeight="1" x14ac:dyDescent="0.35">
      <c r="A358" s="9"/>
      <c r="H358" s="9"/>
      <c r="O358" s="9"/>
    </row>
    <row r="359" spans="1:15" ht="15.75" customHeight="1" x14ac:dyDescent="0.35">
      <c r="A359" s="9"/>
      <c r="H359" s="9"/>
      <c r="O359" s="9"/>
    </row>
    <row r="360" spans="1:15" ht="15.75" customHeight="1" x14ac:dyDescent="0.35">
      <c r="A360" s="9"/>
      <c r="H360" s="9"/>
      <c r="O360" s="9"/>
    </row>
    <row r="361" spans="1:15" ht="15.75" customHeight="1" x14ac:dyDescent="0.35">
      <c r="A361" s="9"/>
      <c r="H361" s="9"/>
      <c r="O361" s="9"/>
    </row>
    <row r="362" spans="1:15" ht="15.75" customHeight="1" x14ac:dyDescent="0.35">
      <c r="A362" s="9"/>
      <c r="H362" s="9"/>
      <c r="O362" s="9"/>
    </row>
    <row r="363" spans="1:15" ht="15.75" customHeight="1" x14ac:dyDescent="0.35">
      <c r="A363" s="9"/>
      <c r="H363" s="9"/>
      <c r="O363" s="9"/>
    </row>
    <row r="364" spans="1:15" ht="15.75" customHeight="1" x14ac:dyDescent="0.35">
      <c r="A364" s="9"/>
      <c r="H364" s="9"/>
      <c r="O364" s="9"/>
    </row>
    <row r="365" spans="1:15" ht="15.75" customHeight="1" x14ac:dyDescent="0.35">
      <c r="A365" s="9"/>
      <c r="H365" s="9"/>
      <c r="O365" s="9"/>
    </row>
    <row r="366" spans="1:15" ht="15.75" customHeight="1" x14ac:dyDescent="0.35">
      <c r="A366" s="9"/>
      <c r="H366" s="9"/>
      <c r="O366" s="9"/>
    </row>
    <row r="367" spans="1:15" ht="15.75" customHeight="1" x14ac:dyDescent="0.35">
      <c r="A367" s="9"/>
      <c r="H367" s="9"/>
      <c r="O367" s="9"/>
    </row>
    <row r="368" spans="1:15" ht="15.75" customHeight="1" x14ac:dyDescent="0.35">
      <c r="A368" s="9"/>
      <c r="H368" s="9"/>
      <c r="O368" s="9"/>
    </row>
    <row r="369" spans="1:15" ht="15.75" customHeight="1" x14ac:dyDescent="0.35">
      <c r="A369" s="9"/>
      <c r="H369" s="9"/>
      <c r="O369" s="9"/>
    </row>
    <row r="370" spans="1:15" ht="15.75" customHeight="1" x14ac:dyDescent="0.35">
      <c r="A370" s="9"/>
      <c r="H370" s="9"/>
      <c r="O370" s="9"/>
    </row>
    <row r="371" spans="1:15" ht="15.75" customHeight="1" x14ac:dyDescent="0.35">
      <c r="A371" s="9"/>
      <c r="H371" s="9"/>
      <c r="O371" s="9"/>
    </row>
    <row r="372" spans="1:15" ht="15.75" customHeight="1" x14ac:dyDescent="0.35">
      <c r="A372" s="9"/>
      <c r="H372" s="9"/>
      <c r="O372" s="9"/>
    </row>
    <row r="373" spans="1:15" ht="15.75" customHeight="1" x14ac:dyDescent="0.35">
      <c r="A373" s="9"/>
      <c r="H373" s="9"/>
      <c r="O373" s="9"/>
    </row>
    <row r="374" spans="1:15" ht="15.75" customHeight="1" x14ac:dyDescent="0.35">
      <c r="A374" s="9"/>
      <c r="H374" s="9"/>
      <c r="O374" s="9"/>
    </row>
    <row r="375" spans="1:15" ht="15.75" customHeight="1" x14ac:dyDescent="0.35">
      <c r="A375" s="9"/>
      <c r="H375" s="9"/>
      <c r="O375" s="9"/>
    </row>
    <row r="376" spans="1:15" ht="15.75" customHeight="1" x14ac:dyDescent="0.35">
      <c r="A376" s="9"/>
      <c r="H376" s="9"/>
      <c r="O376" s="9"/>
    </row>
    <row r="377" spans="1:15" ht="15.75" customHeight="1" x14ac:dyDescent="0.35">
      <c r="A377" s="9"/>
      <c r="H377" s="9"/>
      <c r="O377" s="9"/>
    </row>
    <row r="378" spans="1:15" ht="15.75" customHeight="1" x14ac:dyDescent="0.35">
      <c r="A378" s="9"/>
      <c r="H378" s="9"/>
      <c r="O378" s="9"/>
    </row>
    <row r="379" spans="1:15" ht="15.75" customHeight="1" x14ac:dyDescent="0.35">
      <c r="A379" s="9"/>
      <c r="H379" s="9"/>
      <c r="O379" s="9"/>
    </row>
    <row r="380" spans="1:15" ht="15.75" customHeight="1" x14ac:dyDescent="0.35">
      <c r="A380" s="9"/>
      <c r="H380" s="9"/>
      <c r="O380" s="9"/>
    </row>
    <row r="381" spans="1:15" ht="15.75" customHeight="1" x14ac:dyDescent="0.35">
      <c r="A381" s="9"/>
      <c r="H381" s="9"/>
      <c r="O381" s="9"/>
    </row>
    <row r="382" spans="1:15" ht="15.75" customHeight="1" x14ac:dyDescent="0.35">
      <c r="A382" s="9"/>
      <c r="H382" s="9"/>
      <c r="O382" s="9"/>
    </row>
    <row r="383" spans="1:15" ht="15.75" customHeight="1" x14ac:dyDescent="0.35">
      <c r="A383" s="9"/>
      <c r="H383" s="9"/>
      <c r="O383" s="9"/>
    </row>
    <row r="384" spans="1:15" ht="15.75" customHeight="1" x14ac:dyDescent="0.35">
      <c r="A384" s="9"/>
      <c r="H384" s="9"/>
      <c r="O384" s="9"/>
    </row>
    <row r="385" spans="1:15" ht="15.75" customHeight="1" x14ac:dyDescent="0.35">
      <c r="A385" s="9"/>
      <c r="H385" s="9"/>
      <c r="O385" s="9"/>
    </row>
    <row r="386" spans="1:15" ht="15.75" customHeight="1" x14ac:dyDescent="0.35">
      <c r="A386" s="9"/>
      <c r="H386" s="9"/>
      <c r="O386" s="9"/>
    </row>
    <row r="387" spans="1:15" ht="15.75" customHeight="1" x14ac:dyDescent="0.35">
      <c r="A387" s="9"/>
      <c r="H387" s="9"/>
      <c r="O387" s="9"/>
    </row>
    <row r="388" spans="1:15" ht="15.75" customHeight="1" x14ac:dyDescent="0.35">
      <c r="A388" s="9"/>
      <c r="H388" s="9"/>
      <c r="O388" s="9"/>
    </row>
    <row r="389" spans="1:15" ht="15.75" customHeight="1" x14ac:dyDescent="0.35">
      <c r="A389" s="9"/>
      <c r="H389" s="9"/>
      <c r="O389" s="9"/>
    </row>
    <row r="390" spans="1:15" ht="15.75" customHeight="1" x14ac:dyDescent="0.35">
      <c r="A390" s="9"/>
      <c r="H390" s="9"/>
      <c r="O390" s="9"/>
    </row>
    <row r="391" spans="1:15" ht="15.75" customHeight="1" x14ac:dyDescent="0.35">
      <c r="A391" s="9"/>
      <c r="H391" s="9"/>
      <c r="O391" s="9"/>
    </row>
    <row r="392" spans="1:15" ht="15.75" customHeight="1" x14ac:dyDescent="0.35">
      <c r="A392" s="9"/>
      <c r="H392" s="9"/>
      <c r="O392" s="9"/>
    </row>
    <row r="393" spans="1:15" ht="15.75" customHeight="1" x14ac:dyDescent="0.35">
      <c r="A393" s="9"/>
      <c r="H393" s="9"/>
      <c r="O393" s="9"/>
    </row>
    <row r="394" spans="1:15" ht="15.75" customHeight="1" x14ac:dyDescent="0.35">
      <c r="A394" s="9"/>
      <c r="H394" s="9"/>
      <c r="O394" s="9"/>
    </row>
    <row r="395" spans="1:15" ht="15.75" customHeight="1" x14ac:dyDescent="0.35">
      <c r="A395" s="9"/>
      <c r="H395" s="9"/>
      <c r="O395" s="9"/>
    </row>
    <row r="396" spans="1:15" ht="15.75" customHeight="1" x14ac:dyDescent="0.35">
      <c r="A396" s="9"/>
      <c r="H396" s="9"/>
      <c r="O396" s="9"/>
    </row>
    <row r="397" spans="1:15" ht="15.75" customHeight="1" x14ac:dyDescent="0.35">
      <c r="A397" s="9"/>
      <c r="H397" s="9"/>
      <c r="O397" s="9"/>
    </row>
    <row r="398" spans="1:15" ht="15.75" customHeight="1" x14ac:dyDescent="0.35">
      <c r="A398" s="9"/>
      <c r="H398" s="9"/>
      <c r="O398" s="9"/>
    </row>
    <row r="399" spans="1:15" ht="15.75" customHeight="1" x14ac:dyDescent="0.35">
      <c r="A399" s="9"/>
      <c r="H399" s="9"/>
      <c r="O399" s="9"/>
    </row>
    <row r="400" spans="1:15" ht="15.75" customHeight="1" x14ac:dyDescent="0.35">
      <c r="A400" s="9"/>
      <c r="H400" s="9"/>
      <c r="O400" s="9"/>
    </row>
    <row r="401" spans="1:15" ht="15.75" customHeight="1" x14ac:dyDescent="0.35">
      <c r="A401" s="9"/>
      <c r="H401" s="9"/>
      <c r="O401" s="9"/>
    </row>
    <row r="402" spans="1:15" ht="15.75" customHeight="1" x14ac:dyDescent="0.35">
      <c r="A402" s="9"/>
      <c r="H402" s="9"/>
      <c r="O402" s="9"/>
    </row>
    <row r="403" spans="1:15" ht="15.75" customHeight="1" x14ac:dyDescent="0.35">
      <c r="A403" s="9"/>
      <c r="H403" s="9"/>
      <c r="O403" s="9"/>
    </row>
    <row r="404" spans="1:15" ht="15.75" customHeight="1" x14ac:dyDescent="0.35">
      <c r="A404" s="9"/>
      <c r="H404" s="9"/>
      <c r="O404" s="9"/>
    </row>
    <row r="405" spans="1:15" ht="15.75" customHeight="1" x14ac:dyDescent="0.35">
      <c r="A405" s="9"/>
      <c r="H405" s="9"/>
      <c r="O405" s="9"/>
    </row>
    <row r="406" spans="1:15" ht="15.75" customHeight="1" x14ac:dyDescent="0.35">
      <c r="A406" s="9"/>
      <c r="H406" s="9"/>
      <c r="O406" s="9"/>
    </row>
    <row r="407" spans="1:15" ht="15.75" customHeight="1" x14ac:dyDescent="0.35">
      <c r="A407" s="9"/>
      <c r="H407" s="9"/>
      <c r="O407" s="9"/>
    </row>
    <row r="408" spans="1:15" ht="15.75" customHeight="1" x14ac:dyDescent="0.35">
      <c r="A408" s="9"/>
      <c r="H408" s="9"/>
      <c r="O408" s="9"/>
    </row>
    <row r="409" spans="1:15" ht="15.75" customHeight="1" x14ac:dyDescent="0.35">
      <c r="A409" s="9"/>
      <c r="H409" s="9"/>
      <c r="O409" s="9"/>
    </row>
    <row r="410" spans="1:15" ht="15.75" customHeight="1" x14ac:dyDescent="0.35">
      <c r="A410" s="9"/>
      <c r="H410" s="9"/>
      <c r="O410" s="9"/>
    </row>
    <row r="411" spans="1:15" ht="15.75" customHeight="1" x14ac:dyDescent="0.35">
      <c r="A411" s="9"/>
      <c r="H411" s="9"/>
      <c r="O411" s="9"/>
    </row>
    <row r="412" spans="1:15" ht="15.75" customHeight="1" x14ac:dyDescent="0.35">
      <c r="A412" s="9"/>
      <c r="H412" s="9"/>
      <c r="O412" s="9"/>
    </row>
    <row r="413" spans="1:15" ht="15.75" customHeight="1" x14ac:dyDescent="0.35">
      <c r="A413" s="9"/>
      <c r="H413" s="9"/>
      <c r="O413" s="9"/>
    </row>
    <row r="414" spans="1:15" ht="15.75" customHeight="1" x14ac:dyDescent="0.35">
      <c r="A414" s="9"/>
      <c r="H414" s="9"/>
      <c r="O414" s="9"/>
    </row>
    <row r="415" spans="1:15" ht="15.75" customHeight="1" x14ac:dyDescent="0.35">
      <c r="A415" s="9"/>
      <c r="H415" s="9"/>
      <c r="O415" s="9"/>
    </row>
    <row r="416" spans="1:15" ht="15.75" customHeight="1" x14ac:dyDescent="0.35">
      <c r="A416" s="9"/>
      <c r="H416" s="9"/>
      <c r="O416" s="9"/>
    </row>
    <row r="417" spans="1:15" ht="15.75" customHeight="1" x14ac:dyDescent="0.35">
      <c r="A417" s="9"/>
      <c r="H417" s="9"/>
      <c r="O417" s="9"/>
    </row>
    <row r="418" spans="1:15" ht="15.75" customHeight="1" x14ac:dyDescent="0.35">
      <c r="A418" s="9"/>
      <c r="H418" s="9"/>
      <c r="O418" s="9"/>
    </row>
    <row r="419" spans="1:15" ht="15.75" customHeight="1" x14ac:dyDescent="0.35">
      <c r="A419" s="9"/>
      <c r="H419" s="9"/>
      <c r="O419" s="9"/>
    </row>
    <row r="420" spans="1:15" ht="15.75" customHeight="1" x14ac:dyDescent="0.35">
      <c r="A420" s="9"/>
      <c r="H420" s="9"/>
      <c r="O420" s="9"/>
    </row>
    <row r="421" spans="1:15" ht="15.75" customHeight="1" x14ac:dyDescent="0.35">
      <c r="A421" s="9"/>
      <c r="H421" s="9"/>
      <c r="O421" s="9"/>
    </row>
    <row r="422" spans="1:15" ht="15.75" customHeight="1" x14ac:dyDescent="0.35">
      <c r="A422" s="9"/>
      <c r="H422" s="9"/>
      <c r="O422" s="9"/>
    </row>
    <row r="423" spans="1:15" ht="15.75" customHeight="1" x14ac:dyDescent="0.35">
      <c r="A423" s="9"/>
      <c r="H423" s="9"/>
      <c r="O423" s="9"/>
    </row>
    <row r="424" spans="1:15" ht="15.75" customHeight="1" x14ac:dyDescent="0.35">
      <c r="A424" s="9"/>
      <c r="H424" s="9"/>
      <c r="O424" s="9"/>
    </row>
    <row r="425" spans="1:15" ht="15.75" customHeight="1" x14ac:dyDescent="0.35">
      <c r="A425" s="9"/>
      <c r="H425" s="9"/>
      <c r="O425" s="9"/>
    </row>
    <row r="426" spans="1:15" ht="15.75" customHeight="1" x14ac:dyDescent="0.35">
      <c r="A426" s="9"/>
      <c r="H426" s="9"/>
      <c r="O426" s="9"/>
    </row>
    <row r="427" spans="1:15" ht="15.75" customHeight="1" x14ac:dyDescent="0.35">
      <c r="A427" s="9"/>
      <c r="H427" s="9"/>
      <c r="O427" s="9"/>
    </row>
    <row r="428" spans="1:15" ht="15.75" customHeight="1" x14ac:dyDescent="0.35">
      <c r="A428" s="9"/>
      <c r="H428" s="9"/>
      <c r="O428" s="9"/>
    </row>
    <row r="429" spans="1:15" ht="15.75" customHeight="1" x14ac:dyDescent="0.35">
      <c r="A429" s="9"/>
      <c r="H429" s="9"/>
      <c r="O429" s="9"/>
    </row>
    <row r="430" spans="1:15" ht="15.75" customHeight="1" x14ac:dyDescent="0.35">
      <c r="A430" s="9"/>
      <c r="H430" s="9"/>
      <c r="O430" s="9"/>
    </row>
    <row r="431" spans="1:15" ht="15.75" customHeight="1" x14ac:dyDescent="0.35">
      <c r="A431" s="9"/>
      <c r="H431" s="9"/>
      <c r="O431" s="9"/>
    </row>
    <row r="432" spans="1:15" ht="15.75" customHeight="1" x14ac:dyDescent="0.35">
      <c r="A432" s="9"/>
      <c r="H432" s="9"/>
      <c r="O432" s="9"/>
    </row>
    <row r="433" spans="1:15" ht="15.75" customHeight="1" x14ac:dyDescent="0.35">
      <c r="A433" s="9"/>
      <c r="H433" s="9"/>
      <c r="O433" s="9"/>
    </row>
    <row r="434" spans="1:15" ht="15.75" customHeight="1" x14ac:dyDescent="0.35">
      <c r="A434" s="9"/>
      <c r="H434" s="9"/>
      <c r="O434" s="9"/>
    </row>
    <row r="435" spans="1:15" ht="15.75" customHeight="1" x14ac:dyDescent="0.35">
      <c r="A435" s="9"/>
      <c r="H435" s="9"/>
      <c r="O435" s="9"/>
    </row>
    <row r="436" spans="1:15" ht="15.75" customHeight="1" x14ac:dyDescent="0.35">
      <c r="A436" s="9"/>
      <c r="H436" s="9"/>
      <c r="O436" s="9"/>
    </row>
    <row r="437" spans="1:15" ht="15.75" customHeight="1" x14ac:dyDescent="0.35">
      <c r="A437" s="9"/>
      <c r="H437" s="9"/>
      <c r="O437" s="9"/>
    </row>
    <row r="438" spans="1:15" ht="15.75" customHeight="1" x14ac:dyDescent="0.35">
      <c r="A438" s="9"/>
      <c r="H438" s="9"/>
      <c r="O438" s="9"/>
    </row>
    <row r="439" spans="1:15" ht="15.75" customHeight="1" x14ac:dyDescent="0.35">
      <c r="A439" s="9"/>
      <c r="H439" s="9"/>
      <c r="O439" s="9"/>
    </row>
    <row r="440" spans="1:15" ht="15.75" customHeight="1" x14ac:dyDescent="0.35">
      <c r="A440" s="9"/>
      <c r="H440" s="9"/>
      <c r="O440" s="9"/>
    </row>
    <row r="441" spans="1:15" ht="15.75" customHeight="1" x14ac:dyDescent="0.35">
      <c r="A441" s="9"/>
      <c r="H441" s="9"/>
      <c r="O441" s="9"/>
    </row>
    <row r="442" spans="1:15" ht="15.75" customHeight="1" x14ac:dyDescent="0.35">
      <c r="A442" s="9"/>
      <c r="H442" s="9"/>
      <c r="O442" s="9"/>
    </row>
    <row r="443" spans="1:15" ht="15.75" customHeight="1" x14ac:dyDescent="0.35">
      <c r="A443" s="9"/>
      <c r="H443" s="9"/>
      <c r="O443" s="9"/>
    </row>
    <row r="444" spans="1:15" ht="15.75" customHeight="1" x14ac:dyDescent="0.35">
      <c r="A444" s="9"/>
      <c r="H444" s="9"/>
      <c r="O444" s="9"/>
    </row>
    <row r="445" spans="1:15" ht="15.75" customHeight="1" x14ac:dyDescent="0.35">
      <c r="A445" s="9"/>
      <c r="H445" s="9"/>
      <c r="O445" s="9"/>
    </row>
    <row r="446" spans="1:15" ht="15.75" customHeight="1" x14ac:dyDescent="0.35">
      <c r="A446" s="9"/>
      <c r="H446" s="9"/>
      <c r="O446" s="9"/>
    </row>
    <row r="447" spans="1:15" ht="15.75" customHeight="1" x14ac:dyDescent="0.35">
      <c r="A447" s="9"/>
      <c r="H447" s="9"/>
      <c r="O447" s="9"/>
    </row>
    <row r="448" spans="1:15" ht="15.75" customHeight="1" x14ac:dyDescent="0.35">
      <c r="A448" s="9"/>
      <c r="H448" s="9"/>
      <c r="O448" s="9"/>
    </row>
    <row r="449" spans="1:15" ht="15.75" customHeight="1" x14ac:dyDescent="0.35">
      <c r="A449" s="9"/>
      <c r="H449" s="9"/>
      <c r="O449" s="9"/>
    </row>
    <row r="450" spans="1:15" ht="15.75" customHeight="1" x14ac:dyDescent="0.35">
      <c r="A450" s="9"/>
      <c r="H450" s="9"/>
      <c r="O450" s="9"/>
    </row>
    <row r="451" spans="1:15" ht="15.75" customHeight="1" x14ac:dyDescent="0.35">
      <c r="A451" s="9"/>
      <c r="H451" s="9"/>
      <c r="O451" s="9"/>
    </row>
    <row r="452" spans="1:15" ht="15.75" customHeight="1" x14ac:dyDescent="0.35">
      <c r="A452" s="9"/>
      <c r="H452" s="9"/>
      <c r="O452" s="9"/>
    </row>
    <row r="453" spans="1:15" ht="15.75" customHeight="1" x14ac:dyDescent="0.35">
      <c r="A453" s="9"/>
      <c r="H453" s="9"/>
      <c r="O453" s="9"/>
    </row>
    <row r="454" spans="1:15" ht="15.75" customHeight="1" x14ac:dyDescent="0.35">
      <c r="A454" s="9"/>
      <c r="H454" s="9"/>
      <c r="O454" s="9"/>
    </row>
    <row r="455" spans="1:15" ht="15.75" customHeight="1" x14ac:dyDescent="0.35">
      <c r="A455" s="9"/>
      <c r="H455" s="9"/>
      <c r="O455" s="9"/>
    </row>
    <row r="456" spans="1:15" ht="15.75" customHeight="1" x14ac:dyDescent="0.35">
      <c r="A456" s="9"/>
      <c r="H456" s="9"/>
      <c r="O456" s="9"/>
    </row>
    <row r="457" spans="1:15" ht="15.75" customHeight="1" x14ac:dyDescent="0.35">
      <c r="A457" s="9"/>
      <c r="H457" s="9"/>
      <c r="O457" s="9"/>
    </row>
    <row r="458" spans="1:15" ht="15.75" customHeight="1" x14ac:dyDescent="0.35">
      <c r="A458" s="9"/>
      <c r="H458" s="9"/>
      <c r="O458" s="9"/>
    </row>
    <row r="459" spans="1:15" ht="15.75" customHeight="1" x14ac:dyDescent="0.35">
      <c r="A459" s="9"/>
      <c r="H459" s="9"/>
      <c r="O459" s="9"/>
    </row>
    <row r="460" spans="1:15" ht="15.75" customHeight="1" x14ac:dyDescent="0.35">
      <c r="A460" s="9"/>
      <c r="H460" s="9"/>
      <c r="O460" s="9"/>
    </row>
    <row r="461" spans="1:15" ht="15.75" customHeight="1" x14ac:dyDescent="0.35">
      <c r="A461" s="9"/>
      <c r="H461" s="9"/>
      <c r="O461" s="9"/>
    </row>
    <row r="462" spans="1:15" ht="15.75" customHeight="1" x14ac:dyDescent="0.35">
      <c r="A462" s="9"/>
      <c r="H462" s="9"/>
      <c r="O462" s="9"/>
    </row>
    <row r="463" spans="1:15" ht="15.75" customHeight="1" x14ac:dyDescent="0.35">
      <c r="A463" s="9"/>
      <c r="H463" s="9"/>
      <c r="O463" s="9"/>
    </row>
    <row r="464" spans="1:15" ht="15.75" customHeight="1" x14ac:dyDescent="0.35">
      <c r="A464" s="9"/>
      <c r="H464" s="9"/>
      <c r="O464" s="9"/>
    </row>
    <row r="465" spans="1:15" ht="15.75" customHeight="1" x14ac:dyDescent="0.35">
      <c r="A465" s="9"/>
      <c r="H465" s="9"/>
      <c r="O465" s="9"/>
    </row>
    <row r="466" spans="1:15" ht="15.75" customHeight="1" x14ac:dyDescent="0.35">
      <c r="A466" s="9"/>
      <c r="H466" s="9"/>
      <c r="O466" s="9"/>
    </row>
    <row r="467" spans="1:15" ht="15.75" customHeight="1" x14ac:dyDescent="0.35">
      <c r="A467" s="9"/>
      <c r="H467" s="9"/>
      <c r="O467" s="9"/>
    </row>
    <row r="468" spans="1:15" ht="15.75" customHeight="1" x14ac:dyDescent="0.35">
      <c r="A468" s="9"/>
      <c r="H468" s="9"/>
      <c r="O468" s="9"/>
    </row>
    <row r="469" spans="1:15" ht="15.75" customHeight="1" x14ac:dyDescent="0.35">
      <c r="A469" s="9"/>
      <c r="H469" s="9"/>
      <c r="O469" s="9"/>
    </row>
    <row r="470" spans="1:15" ht="15.75" customHeight="1" x14ac:dyDescent="0.35">
      <c r="A470" s="9"/>
      <c r="H470" s="9"/>
      <c r="O470" s="9"/>
    </row>
    <row r="471" spans="1:15" ht="15.75" customHeight="1" x14ac:dyDescent="0.35">
      <c r="A471" s="9"/>
      <c r="H471" s="9"/>
      <c r="O471" s="9"/>
    </row>
    <row r="472" spans="1:15" ht="15.75" customHeight="1" x14ac:dyDescent="0.35">
      <c r="A472" s="9"/>
      <c r="H472" s="9"/>
      <c r="O472" s="9"/>
    </row>
    <row r="473" spans="1:15" ht="15.75" customHeight="1" x14ac:dyDescent="0.35">
      <c r="A473" s="9"/>
      <c r="H473" s="9"/>
      <c r="O473" s="9"/>
    </row>
    <row r="474" spans="1:15" ht="15.75" customHeight="1" x14ac:dyDescent="0.35">
      <c r="A474" s="9"/>
      <c r="H474" s="9"/>
      <c r="O474" s="9"/>
    </row>
    <row r="475" spans="1:15" ht="15.75" customHeight="1" x14ac:dyDescent="0.35">
      <c r="A475" s="9"/>
      <c r="H475" s="9"/>
      <c r="O475" s="9"/>
    </row>
    <row r="476" spans="1:15" ht="15.75" customHeight="1" x14ac:dyDescent="0.35">
      <c r="A476" s="9"/>
      <c r="H476" s="9"/>
      <c r="O476" s="9"/>
    </row>
    <row r="477" spans="1:15" ht="15.75" customHeight="1" x14ac:dyDescent="0.35">
      <c r="A477" s="9"/>
      <c r="H477" s="9"/>
      <c r="O477" s="9"/>
    </row>
    <row r="478" spans="1:15" ht="15.75" customHeight="1" x14ac:dyDescent="0.35">
      <c r="A478" s="9"/>
      <c r="H478" s="9"/>
      <c r="O478" s="9"/>
    </row>
    <row r="479" spans="1:15" ht="15.75" customHeight="1" x14ac:dyDescent="0.35">
      <c r="A479" s="9"/>
      <c r="H479" s="9"/>
      <c r="O479" s="9"/>
    </row>
    <row r="480" spans="1:15" ht="15.75" customHeight="1" x14ac:dyDescent="0.35">
      <c r="A480" s="9"/>
      <c r="H480" s="9"/>
      <c r="O480" s="9"/>
    </row>
    <row r="481" spans="1:15" ht="15.75" customHeight="1" x14ac:dyDescent="0.35">
      <c r="A481" s="9"/>
      <c r="H481" s="9"/>
      <c r="O481" s="9"/>
    </row>
    <row r="482" spans="1:15" ht="15.75" customHeight="1" x14ac:dyDescent="0.35">
      <c r="A482" s="9"/>
      <c r="H482" s="9"/>
      <c r="O482" s="9"/>
    </row>
    <row r="483" spans="1:15" ht="15.75" customHeight="1" x14ac:dyDescent="0.35">
      <c r="A483" s="9"/>
      <c r="H483" s="9"/>
      <c r="O483" s="9"/>
    </row>
    <row r="484" spans="1:15" ht="15.75" customHeight="1" x14ac:dyDescent="0.35">
      <c r="A484" s="9"/>
      <c r="H484" s="9"/>
      <c r="O484" s="9"/>
    </row>
    <row r="485" spans="1:15" ht="15.75" customHeight="1" x14ac:dyDescent="0.35">
      <c r="A485" s="9"/>
      <c r="H485" s="9"/>
      <c r="O485" s="9"/>
    </row>
    <row r="486" spans="1:15" ht="15.75" customHeight="1" x14ac:dyDescent="0.35">
      <c r="A486" s="9"/>
      <c r="H486" s="9"/>
      <c r="O486" s="9"/>
    </row>
    <row r="487" spans="1:15" ht="15.75" customHeight="1" x14ac:dyDescent="0.35">
      <c r="A487" s="9"/>
      <c r="H487" s="9"/>
      <c r="O487" s="9"/>
    </row>
    <row r="488" spans="1:15" ht="15.75" customHeight="1" x14ac:dyDescent="0.35">
      <c r="A488" s="9"/>
      <c r="H488" s="9"/>
      <c r="O488" s="9"/>
    </row>
    <row r="489" spans="1:15" ht="15.75" customHeight="1" x14ac:dyDescent="0.35">
      <c r="A489" s="9"/>
      <c r="H489" s="9"/>
      <c r="O489" s="9"/>
    </row>
    <row r="490" spans="1:15" ht="15.75" customHeight="1" x14ac:dyDescent="0.35">
      <c r="A490" s="9"/>
      <c r="H490" s="9"/>
      <c r="O490" s="9"/>
    </row>
    <row r="491" spans="1:15" ht="15.75" customHeight="1" x14ac:dyDescent="0.35">
      <c r="A491" s="9"/>
      <c r="H491" s="9"/>
      <c r="O491" s="9"/>
    </row>
    <row r="492" spans="1:15" ht="15.75" customHeight="1" x14ac:dyDescent="0.35">
      <c r="A492" s="9"/>
      <c r="H492" s="9"/>
      <c r="O492" s="9"/>
    </row>
    <row r="493" spans="1:15" ht="15.75" customHeight="1" x14ac:dyDescent="0.35">
      <c r="A493" s="9"/>
      <c r="H493" s="9"/>
      <c r="O493" s="9"/>
    </row>
    <row r="494" spans="1:15" ht="15.75" customHeight="1" x14ac:dyDescent="0.35">
      <c r="A494" s="9"/>
      <c r="H494" s="9"/>
      <c r="O494" s="9"/>
    </row>
    <row r="495" spans="1:15" ht="15.75" customHeight="1" x14ac:dyDescent="0.35">
      <c r="A495" s="9"/>
      <c r="H495" s="9"/>
      <c r="O495" s="9"/>
    </row>
    <row r="496" spans="1:15" ht="15.75" customHeight="1" x14ac:dyDescent="0.35">
      <c r="A496" s="9"/>
      <c r="H496" s="9"/>
      <c r="O496" s="9"/>
    </row>
    <row r="497" spans="1:15" ht="15.75" customHeight="1" x14ac:dyDescent="0.35">
      <c r="A497" s="9"/>
      <c r="H497" s="9"/>
      <c r="O497" s="9"/>
    </row>
    <row r="498" spans="1:15" ht="15.75" customHeight="1" x14ac:dyDescent="0.35">
      <c r="A498" s="9"/>
      <c r="H498" s="9"/>
      <c r="O498" s="9"/>
    </row>
    <row r="499" spans="1:15" ht="15.75" customHeight="1" x14ac:dyDescent="0.35">
      <c r="A499" s="9"/>
      <c r="H499" s="9"/>
      <c r="O499" s="9"/>
    </row>
    <row r="500" spans="1:15" ht="15.75" customHeight="1" x14ac:dyDescent="0.35">
      <c r="A500" s="9"/>
      <c r="H500" s="9"/>
      <c r="O500" s="9"/>
    </row>
    <row r="501" spans="1:15" ht="15.75" customHeight="1" x14ac:dyDescent="0.35">
      <c r="A501" s="9"/>
      <c r="H501" s="9"/>
      <c r="O501" s="9"/>
    </row>
    <row r="502" spans="1:15" ht="15.75" customHeight="1" x14ac:dyDescent="0.35">
      <c r="A502" s="9"/>
      <c r="H502" s="9"/>
      <c r="O502" s="9"/>
    </row>
    <row r="503" spans="1:15" ht="15.75" customHeight="1" x14ac:dyDescent="0.35">
      <c r="A503" s="9"/>
      <c r="H503" s="9"/>
      <c r="O503" s="9"/>
    </row>
    <row r="504" spans="1:15" ht="15.75" customHeight="1" x14ac:dyDescent="0.35">
      <c r="A504" s="9"/>
      <c r="H504" s="9"/>
      <c r="O504" s="9"/>
    </row>
    <row r="505" spans="1:15" ht="15.75" customHeight="1" x14ac:dyDescent="0.35">
      <c r="A505" s="9"/>
      <c r="H505" s="9"/>
      <c r="O505" s="9"/>
    </row>
    <row r="506" spans="1:15" ht="15.75" customHeight="1" x14ac:dyDescent="0.35">
      <c r="A506" s="9"/>
      <c r="H506" s="9"/>
      <c r="O506" s="9"/>
    </row>
    <row r="507" spans="1:15" ht="15.75" customHeight="1" x14ac:dyDescent="0.35">
      <c r="A507" s="9"/>
      <c r="H507" s="9"/>
      <c r="O507" s="9"/>
    </row>
    <row r="508" spans="1:15" ht="15.75" customHeight="1" x14ac:dyDescent="0.35">
      <c r="A508" s="9"/>
      <c r="H508" s="9"/>
      <c r="O508" s="9"/>
    </row>
    <row r="509" spans="1:15" ht="15.75" customHeight="1" x14ac:dyDescent="0.35">
      <c r="A509" s="9"/>
      <c r="H509" s="9"/>
      <c r="O509" s="9"/>
    </row>
    <row r="510" spans="1:15" ht="15.75" customHeight="1" x14ac:dyDescent="0.35">
      <c r="A510" s="9"/>
      <c r="H510" s="9"/>
      <c r="O510" s="9"/>
    </row>
    <row r="511" spans="1:15" ht="15.75" customHeight="1" x14ac:dyDescent="0.35">
      <c r="A511" s="9"/>
      <c r="H511" s="9"/>
      <c r="O511" s="9"/>
    </row>
    <row r="512" spans="1:15" ht="15.75" customHeight="1" x14ac:dyDescent="0.35">
      <c r="A512" s="9"/>
      <c r="H512" s="9"/>
      <c r="O512" s="9"/>
    </row>
    <row r="513" spans="1:15" ht="15.75" customHeight="1" x14ac:dyDescent="0.35">
      <c r="A513" s="9"/>
      <c r="H513" s="9"/>
      <c r="O513" s="9"/>
    </row>
    <row r="514" spans="1:15" ht="15.75" customHeight="1" x14ac:dyDescent="0.35">
      <c r="A514" s="9"/>
      <c r="H514" s="9"/>
      <c r="O514" s="9"/>
    </row>
    <row r="515" spans="1:15" ht="15.75" customHeight="1" x14ac:dyDescent="0.35">
      <c r="A515" s="9"/>
      <c r="H515" s="9"/>
      <c r="O515" s="9"/>
    </row>
    <row r="516" spans="1:15" ht="15.75" customHeight="1" x14ac:dyDescent="0.35">
      <c r="A516" s="9"/>
      <c r="H516" s="9"/>
      <c r="O516" s="9"/>
    </row>
    <row r="517" spans="1:15" ht="15.75" customHeight="1" x14ac:dyDescent="0.35">
      <c r="A517" s="9"/>
      <c r="H517" s="9"/>
      <c r="O517" s="9"/>
    </row>
    <row r="518" spans="1:15" ht="15.75" customHeight="1" x14ac:dyDescent="0.35">
      <c r="A518" s="9"/>
      <c r="H518" s="9"/>
      <c r="O518" s="9"/>
    </row>
    <row r="519" spans="1:15" ht="15.75" customHeight="1" x14ac:dyDescent="0.35">
      <c r="A519" s="9"/>
      <c r="H519" s="9"/>
      <c r="O519" s="9"/>
    </row>
    <row r="520" spans="1:15" ht="15.75" customHeight="1" x14ac:dyDescent="0.35">
      <c r="A520" s="9"/>
      <c r="H520" s="9"/>
      <c r="O520" s="9"/>
    </row>
    <row r="521" spans="1:15" ht="15.75" customHeight="1" x14ac:dyDescent="0.35">
      <c r="A521" s="9"/>
      <c r="H521" s="9"/>
      <c r="O521" s="9"/>
    </row>
    <row r="522" spans="1:15" ht="15.75" customHeight="1" x14ac:dyDescent="0.35">
      <c r="A522" s="9"/>
      <c r="H522" s="9"/>
      <c r="O522" s="9"/>
    </row>
    <row r="523" spans="1:15" ht="15.75" customHeight="1" x14ac:dyDescent="0.35">
      <c r="A523" s="9"/>
      <c r="H523" s="9"/>
      <c r="O523" s="9"/>
    </row>
    <row r="524" spans="1:15" ht="15.75" customHeight="1" x14ac:dyDescent="0.35">
      <c r="A524" s="9"/>
      <c r="H524" s="9"/>
      <c r="O524" s="9"/>
    </row>
    <row r="525" spans="1:15" ht="15.75" customHeight="1" x14ac:dyDescent="0.35">
      <c r="A525" s="9"/>
      <c r="H525" s="9"/>
      <c r="O525" s="9"/>
    </row>
    <row r="526" spans="1:15" ht="15.75" customHeight="1" x14ac:dyDescent="0.35">
      <c r="A526" s="9"/>
      <c r="H526" s="9"/>
      <c r="O526" s="9"/>
    </row>
    <row r="527" spans="1:15" ht="15.75" customHeight="1" x14ac:dyDescent="0.35">
      <c r="A527" s="9"/>
      <c r="H527" s="9"/>
      <c r="O527" s="9"/>
    </row>
    <row r="528" spans="1:15" ht="15.75" customHeight="1" x14ac:dyDescent="0.35">
      <c r="A528" s="9"/>
      <c r="H528" s="9"/>
      <c r="O528" s="9"/>
    </row>
    <row r="529" spans="1:15" ht="15.75" customHeight="1" x14ac:dyDescent="0.35">
      <c r="A529" s="9"/>
      <c r="H529" s="9"/>
      <c r="O529" s="9"/>
    </row>
    <row r="530" spans="1:15" ht="15.75" customHeight="1" x14ac:dyDescent="0.35">
      <c r="A530" s="9"/>
      <c r="H530" s="9"/>
      <c r="O530" s="9"/>
    </row>
    <row r="531" spans="1:15" ht="15.75" customHeight="1" x14ac:dyDescent="0.35">
      <c r="A531" s="9"/>
      <c r="H531" s="9"/>
      <c r="O531" s="9"/>
    </row>
    <row r="532" spans="1:15" ht="15.75" customHeight="1" x14ac:dyDescent="0.35">
      <c r="A532" s="9"/>
      <c r="H532" s="9"/>
      <c r="O532" s="9"/>
    </row>
    <row r="533" spans="1:15" ht="15.75" customHeight="1" x14ac:dyDescent="0.35">
      <c r="A533" s="9"/>
      <c r="H533" s="9"/>
      <c r="O533" s="9"/>
    </row>
    <row r="534" spans="1:15" ht="15.75" customHeight="1" x14ac:dyDescent="0.35">
      <c r="A534" s="9"/>
      <c r="H534" s="9"/>
      <c r="O534" s="9"/>
    </row>
    <row r="535" spans="1:15" ht="15.75" customHeight="1" x14ac:dyDescent="0.35">
      <c r="A535" s="9"/>
      <c r="H535" s="9"/>
      <c r="O535" s="9"/>
    </row>
    <row r="536" spans="1:15" ht="15.75" customHeight="1" x14ac:dyDescent="0.35">
      <c r="A536" s="9"/>
      <c r="H536" s="9"/>
      <c r="O536" s="9"/>
    </row>
    <row r="537" spans="1:15" ht="15.75" customHeight="1" x14ac:dyDescent="0.35">
      <c r="A537" s="9"/>
      <c r="H537" s="9"/>
      <c r="O537" s="9"/>
    </row>
    <row r="538" spans="1:15" ht="15.75" customHeight="1" x14ac:dyDescent="0.35">
      <c r="A538" s="9"/>
      <c r="H538" s="9"/>
      <c r="O538" s="9"/>
    </row>
    <row r="539" spans="1:15" ht="15.75" customHeight="1" x14ac:dyDescent="0.35">
      <c r="A539" s="9"/>
      <c r="H539" s="9"/>
      <c r="O539" s="9"/>
    </row>
    <row r="540" spans="1:15" ht="15.75" customHeight="1" x14ac:dyDescent="0.35">
      <c r="A540" s="9"/>
      <c r="H540" s="9"/>
      <c r="O540" s="9"/>
    </row>
    <row r="541" spans="1:15" ht="15.75" customHeight="1" x14ac:dyDescent="0.35">
      <c r="A541" s="9"/>
      <c r="H541" s="9"/>
      <c r="O541" s="9"/>
    </row>
    <row r="542" spans="1:15" ht="15.75" customHeight="1" x14ac:dyDescent="0.35">
      <c r="A542" s="9"/>
      <c r="H542" s="9"/>
      <c r="O542" s="9"/>
    </row>
    <row r="543" spans="1:15" ht="15.75" customHeight="1" x14ac:dyDescent="0.35">
      <c r="A543" s="9"/>
      <c r="H543" s="9"/>
      <c r="O543" s="9"/>
    </row>
    <row r="544" spans="1:15" ht="15.75" customHeight="1" x14ac:dyDescent="0.35">
      <c r="A544" s="9"/>
      <c r="H544" s="9"/>
      <c r="O544" s="9"/>
    </row>
    <row r="545" spans="1:15" ht="15.75" customHeight="1" x14ac:dyDescent="0.35">
      <c r="A545" s="9"/>
      <c r="H545" s="9"/>
      <c r="O545" s="9"/>
    </row>
    <row r="546" spans="1:15" ht="15.75" customHeight="1" x14ac:dyDescent="0.35">
      <c r="A546" s="9"/>
      <c r="H546" s="9"/>
      <c r="O546" s="9"/>
    </row>
    <row r="547" spans="1:15" ht="15.75" customHeight="1" x14ac:dyDescent="0.35">
      <c r="A547" s="9"/>
      <c r="H547" s="9"/>
      <c r="O547" s="9"/>
    </row>
    <row r="548" spans="1:15" ht="15.75" customHeight="1" x14ac:dyDescent="0.35">
      <c r="A548" s="9"/>
      <c r="H548" s="9"/>
      <c r="O548" s="9"/>
    </row>
    <row r="549" spans="1:15" ht="15.75" customHeight="1" x14ac:dyDescent="0.35">
      <c r="A549" s="9"/>
      <c r="H549" s="9"/>
      <c r="O549" s="9"/>
    </row>
    <row r="550" spans="1:15" ht="15.75" customHeight="1" x14ac:dyDescent="0.35">
      <c r="A550" s="9"/>
      <c r="H550" s="9"/>
      <c r="O550" s="9"/>
    </row>
    <row r="551" spans="1:15" ht="15.75" customHeight="1" x14ac:dyDescent="0.35">
      <c r="A551" s="9"/>
      <c r="H551" s="9"/>
      <c r="O551" s="9"/>
    </row>
    <row r="552" spans="1:15" ht="15.75" customHeight="1" x14ac:dyDescent="0.35">
      <c r="A552" s="9"/>
      <c r="H552" s="9"/>
      <c r="O552" s="9"/>
    </row>
    <row r="553" spans="1:15" ht="15.75" customHeight="1" x14ac:dyDescent="0.35">
      <c r="A553" s="9"/>
      <c r="H553" s="9"/>
      <c r="O553" s="9"/>
    </row>
    <row r="554" spans="1:15" ht="15.75" customHeight="1" x14ac:dyDescent="0.35">
      <c r="A554" s="9"/>
      <c r="H554" s="9"/>
      <c r="O554" s="9"/>
    </row>
    <row r="555" spans="1:15" ht="15.75" customHeight="1" x14ac:dyDescent="0.35">
      <c r="A555" s="9"/>
      <c r="H555" s="9"/>
      <c r="O555" s="9"/>
    </row>
    <row r="556" spans="1:15" ht="15.75" customHeight="1" x14ac:dyDescent="0.35">
      <c r="A556" s="9"/>
      <c r="H556" s="9"/>
      <c r="O556" s="9"/>
    </row>
    <row r="557" spans="1:15" ht="15.75" customHeight="1" x14ac:dyDescent="0.35">
      <c r="A557" s="9"/>
      <c r="H557" s="9"/>
      <c r="O557" s="9"/>
    </row>
    <row r="558" spans="1:15" ht="15.75" customHeight="1" x14ac:dyDescent="0.35">
      <c r="A558" s="9"/>
      <c r="H558" s="9"/>
      <c r="O558" s="9"/>
    </row>
    <row r="559" spans="1:15" ht="15.75" customHeight="1" x14ac:dyDescent="0.35">
      <c r="A559" s="9"/>
      <c r="H559" s="9"/>
      <c r="O559" s="9"/>
    </row>
    <row r="560" spans="1:15" ht="15.75" customHeight="1" x14ac:dyDescent="0.35">
      <c r="A560" s="9"/>
      <c r="H560" s="9"/>
      <c r="O560" s="9"/>
    </row>
    <row r="561" spans="1:15" ht="15.75" customHeight="1" x14ac:dyDescent="0.35">
      <c r="A561" s="9"/>
      <c r="H561" s="9"/>
      <c r="O561" s="9"/>
    </row>
    <row r="562" spans="1:15" ht="15.75" customHeight="1" x14ac:dyDescent="0.35">
      <c r="A562" s="9"/>
      <c r="H562" s="9"/>
      <c r="O562" s="9"/>
    </row>
    <row r="563" spans="1:15" ht="15.75" customHeight="1" x14ac:dyDescent="0.35">
      <c r="A563" s="9"/>
      <c r="H563" s="9"/>
      <c r="O563" s="9"/>
    </row>
    <row r="564" spans="1:15" ht="15.75" customHeight="1" x14ac:dyDescent="0.35">
      <c r="A564" s="9"/>
      <c r="H564" s="9"/>
      <c r="O564" s="9"/>
    </row>
    <row r="565" spans="1:15" ht="15.75" customHeight="1" x14ac:dyDescent="0.35">
      <c r="A565" s="9"/>
      <c r="H565" s="9"/>
      <c r="O565" s="9"/>
    </row>
    <row r="566" spans="1:15" ht="15.75" customHeight="1" x14ac:dyDescent="0.35">
      <c r="A566" s="9"/>
      <c r="H566" s="9"/>
      <c r="O566" s="9"/>
    </row>
    <row r="567" spans="1:15" ht="15.75" customHeight="1" x14ac:dyDescent="0.35">
      <c r="A567" s="9"/>
      <c r="H567" s="9"/>
      <c r="O567" s="9"/>
    </row>
    <row r="568" spans="1:15" ht="15.75" customHeight="1" x14ac:dyDescent="0.35">
      <c r="A568" s="9"/>
      <c r="H568" s="9"/>
      <c r="O568" s="9"/>
    </row>
    <row r="569" spans="1:15" ht="15.75" customHeight="1" x14ac:dyDescent="0.35">
      <c r="A569" s="9"/>
      <c r="H569" s="9"/>
      <c r="O569" s="9"/>
    </row>
    <row r="570" spans="1:15" ht="15.75" customHeight="1" x14ac:dyDescent="0.35">
      <c r="A570" s="9"/>
      <c r="H570" s="9"/>
      <c r="O570" s="9"/>
    </row>
    <row r="571" spans="1:15" ht="15.75" customHeight="1" x14ac:dyDescent="0.35">
      <c r="A571" s="9"/>
      <c r="H571" s="9"/>
      <c r="O571" s="9"/>
    </row>
    <row r="572" spans="1:15" ht="15.75" customHeight="1" x14ac:dyDescent="0.35">
      <c r="A572" s="9"/>
      <c r="H572" s="9"/>
      <c r="O572" s="9"/>
    </row>
    <row r="573" spans="1:15" ht="15.75" customHeight="1" x14ac:dyDescent="0.35">
      <c r="A573" s="9"/>
      <c r="H573" s="9"/>
      <c r="O573" s="9"/>
    </row>
    <row r="574" spans="1:15" ht="15.75" customHeight="1" x14ac:dyDescent="0.35">
      <c r="A574" s="9"/>
      <c r="H574" s="9"/>
      <c r="O574" s="9"/>
    </row>
    <row r="575" spans="1:15" ht="15.75" customHeight="1" x14ac:dyDescent="0.35">
      <c r="A575" s="9"/>
      <c r="H575" s="9"/>
      <c r="O575" s="9"/>
    </row>
    <row r="576" spans="1:15" ht="15.75" customHeight="1" x14ac:dyDescent="0.35">
      <c r="A576" s="9"/>
      <c r="H576" s="9"/>
      <c r="O576" s="9"/>
    </row>
    <row r="577" spans="1:15" ht="15.75" customHeight="1" x14ac:dyDescent="0.35">
      <c r="A577" s="9"/>
      <c r="H577" s="9"/>
      <c r="O577" s="9"/>
    </row>
    <row r="578" spans="1:15" ht="15.75" customHeight="1" x14ac:dyDescent="0.35">
      <c r="A578" s="9"/>
      <c r="H578" s="9"/>
      <c r="O578" s="9"/>
    </row>
    <row r="579" spans="1:15" ht="15.75" customHeight="1" x14ac:dyDescent="0.35">
      <c r="A579" s="9"/>
      <c r="H579" s="9"/>
      <c r="O579" s="9"/>
    </row>
    <row r="580" spans="1:15" ht="15.75" customHeight="1" x14ac:dyDescent="0.35">
      <c r="A580" s="9"/>
      <c r="H580" s="9"/>
      <c r="O580" s="9"/>
    </row>
    <row r="581" spans="1:15" ht="15.75" customHeight="1" x14ac:dyDescent="0.35">
      <c r="A581" s="9"/>
      <c r="H581" s="9"/>
      <c r="O581" s="9"/>
    </row>
    <row r="582" spans="1:15" ht="15.75" customHeight="1" x14ac:dyDescent="0.35">
      <c r="A582" s="9"/>
      <c r="H582" s="9"/>
      <c r="O582" s="9"/>
    </row>
    <row r="583" spans="1:15" ht="15.75" customHeight="1" x14ac:dyDescent="0.35">
      <c r="A583" s="9"/>
      <c r="H583" s="9"/>
      <c r="O583" s="9"/>
    </row>
    <row r="584" spans="1:15" ht="15.75" customHeight="1" x14ac:dyDescent="0.35">
      <c r="A584" s="9"/>
      <c r="H584" s="9"/>
      <c r="O584" s="9"/>
    </row>
    <row r="585" spans="1:15" ht="15.75" customHeight="1" x14ac:dyDescent="0.35">
      <c r="A585" s="9"/>
      <c r="H585" s="9"/>
      <c r="O585" s="9"/>
    </row>
    <row r="586" spans="1:15" ht="15.75" customHeight="1" x14ac:dyDescent="0.35">
      <c r="A586" s="9"/>
      <c r="H586" s="9"/>
      <c r="O586" s="9"/>
    </row>
    <row r="587" spans="1:15" ht="15.75" customHeight="1" x14ac:dyDescent="0.35">
      <c r="A587" s="9"/>
      <c r="H587" s="9"/>
      <c r="O587" s="9"/>
    </row>
    <row r="588" spans="1:15" ht="15.75" customHeight="1" x14ac:dyDescent="0.35">
      <c r="A588" s="9"/>
      <c r="H588" s="9"/>
      <c r="O588" s="9"/>
    </row>
    <row r="589" spans="1:15" ht="15.75" customHeight="1" x14ac:dyDescent="0.35">
      <c r="A589" s="9"/>
      <c r="H589" s="9"/>
      <c r="O589" s="9"/>
    </row>
    <row r="590" spans="1:15" ht="15.75" customHeight="1" x14ac:dyDescent="0.35">
      <c r="A590" s="9"/>
      <c r="H590" s="9"/>
      <c r="O590" s="9"/>
    </row>
    <row r="591" spans="1:15" ht="15.75" customHeight="1" x14ac:dyDescent="0.35">
      <c r="A591" s="9"/>
      <c r="H591" s="9"/>
      <c r="O591" s="9"/>
    </row>
    <row r="592" spans="1:15" ht="15.75" customHeight="1" x14ac:dyDescent="0.35">
      <c r="A592" s="9"/>
      <c r="H592" s="9"/>
      <c r="O592" s="9"/>
    </row>
    <row r="593" spans="1:15" ht="15.75" customHeight="1" x14ac:dyDescent="0.35">
      <c r="A593" s="9"/>
      <c r="H593" s="9"/>
      <c r="O593" s="9"/>
    </row>
    <row r="594" spans="1:15" ht="15.75" customHeight="1" x14ac:dyDescent="0.35">
      <c r="A594" s="9"/>
      <c r="H594" s="9"/>
      <c r="O594" s="9"/>
    </row>
    <row r="595" spans="1:15" ht="15.75" customHeight="1" x14ac:dyDescent="0.35">
      <c r="A595" s="9"/>
      <c r="H595" s="9"/>
      <c r="O595" s="9"/>
    </row>
    <row r="596" spans="1:15" ht="15.75" customHeight="1" x14ac:dyDescent="0.35">
      <c r="A596" s="9"/>
      <c r="H596" s="9"/>
      <c r="O596" s="9"/>
    </row>
    <row r="597" spans="1:15" ht="15.75" customHeight="1" x14ac:dyDescent="0.35">
      <c r="A597" s="9"/>
      <c r="H597" s="9"/>
      <c r="O597" s="9"/>
    </row>
    <row r="598" spans="1:15" ht="15.75" customHeight="1" x14ac:dyDescent="0.35">
      <c r="A598" s="9"/>
      <c r="H598" s="9"/>
      <c r="O598" s="9"/>
    </row>
    <row r="599" spans="1:15" ht="15.75" customHeight="1" x14ac:dyDescent="0.35">
      <c r="A599" s="9"/>
      <c r="H599" s="9"/>
      <c r="O599" s="9"/>
    </row>
    <row r="600" spans="1:15" ht="15.75" customHeight="1" x14ac:dyDescent="0.35">
      <c r="A600" s="9"/>
      <c r="H600" s="9"/>
      <c r="O600" s="9"/>
    </row>
    <row r="601" spans="1:15" ht="15.75" customHeight="1" x14ac:dyDescent="0.35">
      <c r="A601" s="9"/>
      <c r="H601" s="9"/>
      <c r="O601" s="9"/>
    </row>
    <row r="602" spans="1:15" ht="15.75" customHeight="1" x14ac:dyDescent="0.35">
      <c r="A602" s="9"/>
      <c r="H602" s="9"/>
      <c r="O602" s="9"/>
    </row>
    <row r="603" spans="1:15" ht="15.75" customHeight="1" x14ac:dyDescent="0.35">
      <c r="A603" s="9"/>
      <c r="H603" s="9"/>
      <c r="O603" s="9"/>
    </row>
    <row r="604" spans="1:15" ht="15.75" customHeight="1" x14ac:dyDescent="0.35">
      <c r="A604" s="9"/>
      <c r="H604" s="9"/>
      <c r="O604" s="9"/>
    </row>
    <row r="605" spans="1:15" ht="15.75" customHeight="1" x14ac:dyDescent="0.35">
      <c r="A605" s="9"/>
      <c r="H605" s="9"/>
      <c r="O605" s="9"/>
    </row>
    <row r="606" spans="1:15" ht="15.75" customHeight="1" x14ac:dyDescent="0.35">
      <c r="A606" s="9"/>
      <c r="H606" s="9"/>
      <c r="O606" s="9"/>
    </row>
    <row r="607" spans="1:15" ht="15.75" customHeight="1" x14ac:dyDescent="0.35">
      <c r="A607" s="9"/>
      <c r="H607" s="9"/>
      <c r="O607" s="9"/>
    </row>
    <row r="608" spans="1:15" ht="15.75" customHeight="1" x14ac:dyDescent="0.35">
      <c r="A608" s="9"/>
      <c r="H608" s="9"/>
      <c r="O608" s="9"/>
    </row>
    <row r="609" spans="1:15" ht="15.75" customHeight="1" x14ac:dyDescent="0.35">
      <c r="A609" s="9"/>
      <c r="H609" s="9"/>
      <c r="O609" s="9"/>
    </row>
    <row r="610" spans="1:15" ht="15.75" customHeight="1" x14ac:dyDescent="0.35">
      <c r="A610" s="9"/>
      <c r="H610" s="9"/>
      <c r="O610" s="9"/>
    </row>
    <row r="611" spans="1:15" ht="15.75" customHeight="1" x14ac:dyDescent="0.35">
      <c r="A611" s="9"/>
      <c r="H611" s="9"/>
      <c r="O611" s="9"/>
    </row>
    <row r="612" spans="1:15" ht="15.75" customHeight="1" x14ac:dyDescent="0.35">
      <c r="A612" s="9"/>
      <c r="H612" s="9"/>
      <c r="O612" s="9"/>
    </row>
    <row r="613" spans="1:15" ht="15.75" customHeight="1" x14ac:dyDescent="0.35">
      <c r="A613" s="9"/>
      <c r="H613" s="9"/>
      <c r="O613" s="9"/>
    </row>
    <row r="614" spans="1:15" ht="15.75" customHeight="1" x14ac:dyDescent="0.35">
      <c r="A614" s="9"/>
      <c r="H614" s="9"/>
      <c r="O614" s="9"/>
    </row>
    <row r="615" spans="1:15" ht="15.75" customHeight="1" x14ac:dyDescent="0.35">
      <c r="A615" s="9"/>
      <c r="H615" s="9"/>
      <c r="O615" s="9"/>
    </row>
    <row r="616" spans="1:15" ht="15.75" customHeight="1" x14ac:dyDescent="0.35">
      <c r="A616" s="9"/>
      <c r="H616" s="9"/>
      <c r="O616" s="9"/>
    </row>
    <row r="617" spans="1:15" ht="15.75" customHeight="1" x14ac:dyDescent="0.35">
      <c r="A617" s="9"/>
      <c r="H617" s="9"/>
      <c r="O617" s="9"/>
    </row>
    <row r="618" spans="1:15" ht="15.75" customHeight="1" x14ac:dyDescent="0.35">
      <c r="A618" s="9"/>
      <c r="H618" s="9"/>
      <c r="O618" s="9"/>
    </row>
    <row r="619" spans="1:15" ht="15.75" customHeight="1" x14ac:dyDescent="0.35">
      <c r="A619" s="9"/>
      <c r="H619" s="9"/>
      <c r="O619" s="9"/>
    </row>
    <row r="620" spans="1:15" ht="15.75" customHeight="1" x14ac:dyDescent="0.35">
      <c r="A620" s="9"/>
      <c r="H620" s="9"/>
      <c r="O620" s="9"/>
    </row>
    <row r="621" spans="1:15" ht="15.75" customHeight="1" x14ac:dyDescent="0.35">
      <c r="A621" s="9"/>
      <c r="H621" s="9"/>
      <c r="O621" s="9"/>
    </row>
    <row r="622" spans="1:15" ht="15.75" customHeight="1" x14ac:dyDescent="0.35">
      <c r="A622" s="9"/>
      <c r="H622" s="9"/>
      <c r="O622" s="9"/>
    </row>
    <row r="623" spans="1:15" ht="15.75" customHeight="1" x14ac:dyDescent="0.35">
      <c r="A623" s="9"/>
      <c r="H623" s="9"/>
      <c r="O623" s="9"/>
    </row>
    <row r="624" spans="1:15" ht="15.75" customHeight="1" x14ac:dyDescent="0.35">
      <c r="A624" s="9"/>
      <c r="H624" s="9"/>
      <c r="O624" s="9"/>
    </row>
    <row r="625" spans="1:15" ht="15.75" customHeight="1" x14ac:dyDescent="0.35">
      <c r="A625" s="9"/>
      <c r="H625" s="9"/>
      <c r="O625" s="9"/>
    </row>
    <row r="626" spans="1:15" ht="15.75" customHeight="1" x14ac:dyDescent="0.35">
      <c r="A626" s="9"/>
      <c r="H626" s="9"/>
      <c r="O626" s="9"/>
    </row>
    <row r="627" spans="1:15" ht="15.75" customHeight="1" x14ac:dyDescent="0.35">
      <c r="A627" s="9"/>
      <c r="H627" s="9"/>
      <c r="O627" s="9"/>
    </row>
    <row r="628" spans="1:15" ht="15.75" customHeight="1" x14ac:dyDescent="0.35">
      <c r="A628" s="9"/>
      <c r="H628" s="9"/>
      <c r="O628" s="9"/>
    </row>
    <row r="629" spans="1:15" ht="15.75" customHeight="1" x14ac:dyDescent="0.35">
      <c r="A629" s="9"/>
      <c r="H629" s="9"/>
      <c r="O629" s="9"/>
    </row>
    <row r="630" spans="1:15" ht="15.75" customHeight="1" x14ac:dyDescent="0.35">
      <c r="A630" s="9"/>
      <c r="H630" s="9"/>
      <c r="O630" s="9"/>
    </row>
    <row r="631" spans="1:15" ht="15.75" customHeight="1" x14ac:dyDescent="0.35">
      <c r="A631" s="9"/>
      <c r="H631" s="9"/>
      <c r="O631" s="9"/>
    </row>
    <row r="632" spans="1:15" ht="15.75" customHeight="1" x14ac:dyDescent="0.35">
      <c r="A632" s="9"/>
      <c r="H632" s="9"/>
      <c r="O632" s="9"/>
    </row>
    <row r="633" spans="1:15" ht="15.75" customHeight="1" x14ac:dyDescent="0.35">
      <c r="A633" s="9"/>
      <c r="H633" s="9"/>
      <c r="O633" s="9"/>
    </row>
    <row r="634" spans="1:15" ht="15.75" customHeight="1" x14ac:dyDescent="0.35">
      <c r="A634" s="9"/>
      <c r="H634" s="9"/>
      <c r="O634" s="9"/>
    </row>
    <row r="635" spans="1:15" ht="15.75" customHeight="1" x14ac:dyDescent="0.35">
      <c r="A635" s="9"/>
      <c r="H635" s="9"/>
      <c r="O635" s="9"/>
    </row>
    <row r="636" spans="1:15" ht="15.75" customHeight="1" x14ac:dyDescent="0.35">
      <c r="A636" s="9"/>
      <c r="H636" s="9"/>
      <c r="O636" s="9"/>
    </row>
    <row r="637" spans="1:15" ht="15.75" customHeight="1" x14ac:dyDescent="0.35">
      <c r="A637" s="9"/>
      <c r="H637" s="9"/>
      <c r="O637" s="9"/>
    </row>
    <row r="638" spans="1:15" ht="15.75" customHeight="1" x14ac:dyDescent="0.35">
      <c r="A638" s="9"/>
      <c r="H638" s="9"/>
      <c r="O638" s="9"/>
    </row>
    <row r="639" spans="1:15" ht="15.75" customHeight="1" x14ac:dyDescent="0.35">
      <c r="A639" s="9"/>
      <c r="H639" s="9"/>
      <c r="O639" s="9"/>
    </row>
    <row r="640" spans="1:15" ht="15.75" customHeight="1" x14ac:dyDescent="0.35">
      <c r="A640" s="9"/>
      <c r="H640" s="9"/>
      <c r="O640" s="9"/>
    </row>
    <row r="641" spans="1:15" ht="15.75" customHeight="1" x14ac:dyDescent="0.35">
      <c r="A641" s="9"/>
      <c r="H641" s="9"/>
      <c r="O641" s="9"/>
    </row>
    <row r="642" spans="1:15" ht="15.75" customHeight="1" x14ac:dyDescent="0.35">
      <c r="A642" s="9"/>
      <c r="H642" s="9"/>
      <c r="O642" s="9"/>
    </row>
    <row r="643" spans="1:15" ht="15.75" customHeight="1" x14ac:dyDescent="0.35">
      <c r="A643" s="9"/>
      <c r="H643" s="9"/>
      <c r="O643" s="9"/>
    </row>
    <row r="644" spans="1:15" ht="15.75" customHeight="1" x14ac:dyDescent="0.35">
      <c r="A644" s="9"/>
      <c r="H644" s="9"/>
      <c r="O644" s="9"/>
    </row>
    <row r="645" spans="1:15" ht="15.75" customHeight="1" x14ac:dyDescent="0.35">
      <c r="A645" s="9"/>
      <c r="H645" s="9"/>
      <c r="O645" s="9"/>
    </row>
    <row r="646" spans="1:15" ht="15.75" customHeight="1" x14ac:dyDescent="0.35">
      <c r="A646" s="9"/>
      <c r="H646" s="9"/>
      <c r="O646" s="9"/>
    </row>
    <row r="647" spans="1:15" ht="15.75" customHeight="1" x14ac:dyDescent="0.35">
      <c r="A647" s="9"/>
      <c r="H647" s="9"/>
      <c r="O647" s="9"/>
    </row>
    <row r="648" spans="1:15" ht="15.75" customHeight="1" x14ac:dyDescent="0.35">
      <c r="A648" s="9"/>
      <c r="H648" s="9"/>
      <c r="O648" s="9"/>
    </row>
    <row r="649" spans="1:15" ht="15.75" customHeight="1" x14ac:dyDescent="0.35">
      <c r="A649" s="9"/>
      <c r="H649" s="9"/>
      <c r="O649" s="9"/>
    </row>
    <row r="650" spans="1:15" ht="15.75" customHeight="1" x14ac:dyDescent="0.35">
      <c r="A650" s="9"/>
      <c r="H650" s="9"/>
      <c r="O650" s="9"/>
    </row>
    <row r="651" spans="1:15" ht="15.75" customHeight="1" x14ac:dyDescent="0.35">
      <c r="A651" s="9"/>
      <c r="H651" s="9"/>
      <c r="O651" s="9"/>
    </row>
    <row r="652" spans="1:15" ht="15.75" customHeight="1" x14ac:dyDescent="0.35">
      <c r="A652" s="9"/>
      <c r="H652" s="9"/>
      <c r="O652" s="9"/>
    </row>
    <row r="653" spans="1:15" ht="15.75" customHeight="1" x14ac:dyDescent="0.35">
      <c r="A653" s="9"/>
      <c r="H653" s="9"/>
      <c r="O653" s="9"/>
    </row>
    <row r="654" spans="1:15" ht="15.75" customHeight="1" x14ac:dyDescent="0.35">
      <c r="A654" s="9"/>
      <c r="H654" s="9"/>
      <c r="O654" s="9"/>
    </row>
    <row r="655" spans="1:15" ht="15.75" customHeight="1" x14ac:dyDescent="0.35">
      <c r="A655" s="9"/>
      <c r="H655" s="9"/>
      <c r="O655" s="9"/>
    </row>
    <row r="656" spans="1:15" ht="15.75" customHeight="1" x14ac:dyDescent="0.35">
      <c r="A656" s="9"/>
      <c r="H656" s="9"/>
      <c r="O656" s="9"/>
    </row>
    <row r="657" spans="1:15" ht="15.75" customHeight="1" x14ac:dyDescent="0.35">
      <c r="A657" s="9"/>
      <c r="H657" s="9"/>
      <c r="O657" s="9"/>
    </row>
    <row r="658" spans="1:15" ht="15.75" customHeight="1" x14ac:dyDescent="0.35">
      <c r="A658" s="9"/>
      <c r="H658" s="9"/>
      <c r="O658" s="9"/>
    </row>
    <row r="659" spans="1:15" ht="15.75" customHeight="1" x14ac:dyDescent="0.35">
      <c r="A659" s="9"/>
      <c r="H659" s="9"/>
      <c r="O659" s="9"/>
    </row>
    <row r="660" spans="1:15" ht="15.75" customHeight="1" x14ac:dyDescent="0.35">
      <c r="A660" s="9"/>
      <c r="H660" s="9"/>
      <c r="O660" s="9"/>
    </row>
    <row r="661" spans="1:15" ht="15.75" customHeight="1" x14ac:dyDescent="0.35">
      <c r="A661" s="9"/>
      <c r="H661" s="9"/>
      <c r="O661" s="9"/>
    </row>
    <row r="662" spans="1:15" ht="15.75" customHeight="1" x14ac:dyDescent="0.35">
      <c r="A662" s="9"/>
      <c r="H662" s="9"/>
      <c r="O662" s="9"/>
    </row>
    <row r="663" spans="1:15" ht="15.75" customHeight="1" x14ac:dyDescent="0.35">
      <c r="A663" s="9"/>
      <c r="H663" s="9"/>
      <c r="O663" s="9"/>
    </row>
    <row r="664" spans="1:15" ht="15.75" customHeight="1" x14ac:dyDescent="0.35">
      <c r="A664" s="9"/>
      <c r="H664" s="9"/>
      <c r="O664" s="9"/>
    </row>
    <row r="665" spans="1:15" ht="15.75" customHeight="1" x14ac:dyDescent="0.35">
      <c r="A665" s="9"/>
      <c r="H665" s="9"/>
      <c r="O665" s="9"/>
    </row>
    <row r="666" spans="1:15" ht="15.75" customHeight="1" x14ac:dyDescent="0.35">
      <c r="A666" s="9"/>
      <c r="H666" s="9"/>
      <c r="O666" s="9"/>
    </row>
    <row r="667" spans="1:15" ht="15.75" customHeight="1" x14ac:dyDescent="0.35">
      <c r="A667" s="9"/>
      <c r="H667" s="9"/>
      <c r="O667" s="9"/>
    </row>
    <row r="668" spans="1:15" ht="15.75" customHeight="1" x14ac:dyDescent="0.35">
      <c r="A668" s="9"/>
      <c r="H668" s="9"/>
      <c r="O668" s="9"/>
    </row>
    <row r="669" spans="1:15" ht="15.75" customHeight="1" x14ac:dyDescent="0.35">
      <c r="A669" s="9"/>
      <c r="H669" s="9"/>
      <c r="O669" s="9"/>
    </row>
    <row r="670" spans="1:15" ht="15.75" customHeight="1" x14ac:dyDescent="0.35">
      <c r="A670" s="9"/>
      <c r="H670" s="9"/>
      <c r="O670" s="9"/>
    </row>
    <row r="671" spans="1:15" ht="15.75" customHeight="1" x14ac:dyDescent="0.35">
      <c r="A671" s="9"/>
      <c r="H671" s="9"/>
      <c r="O671" s="9"/>
    </row>
    <row r="672" spans="1:15" ht="15.75" customHeight="1" x14ac:dyDescent="0.35">
      <c r="A672" s="9"/>
      <c r="H672" s="9"/>
      <c r="O672" s="9"/>
    </row>
    <row r="673" spans="1:15" ht="15.75" customHeight="1" x14ac:dyDescent="0.35">
      <c r="A673" s="9"/>
      <c r="H673" s="9"/>
      <c r="O673" s="9"/>
    </row>
    <row r="674" spans="1:15" ht="15.75" customHeight="1" x14ac:dyDescent="0.35">
      <c r="A674" s="9"/>
      <c r="H674" s="9"/>
      <c r="O674" s="9"/>
    </row>
    <row r="675" spans="1:15" ht="15.75" customHeight="1" x14ac:dyDescent="0.35">
      <c r="A675" s="9"/>
      <c r="H675" s="9"/>
      <c r="O675" s="9"/>
    </row>
    <row r="676" spans="1:15" ht="15.75" customHeight="1" x14ac:dyDescent="0.35">
      <c r="A676" s="9"/>
      <c r="H676" s="9"/>
      <c r="O676" s="9"/>
    </row>
    <row r="677" spans="1:15" ht="15.75" customHeight="1" x14ac:dyDescent="0.35">
      <c r="A677" s="9"/>
      <c r="H677" s="9"/>
      <c r="O677" s="9"/>
    </row>
    <row r="678" spans="1:15" ht="15.75" customHeight="1" x14ac:dyDescent="0.35">
      <c r="A678" s="9"/>
      <c r="H678" s="9"/>
      <c r="O678" s="9"/>
    </row>
    <row r="679" spans="1:15" ht="15.75" customHeight="1" x14ac:dyDescent="0.35">
      <c r="A679" s="9"/>
      <c r="H679" s="9"/>
      <c r="O679" s="9"/>
    </row>
    <row r="680" spans="1:15" ht="15.75" customHeight="1" x14ac:dyDescent="0.35">
      <c r="A680" s="9"/>
      <c r="H680" s="9"/>
      <c r="O680" s="9"/>
    </row>
    <row r="681" spans="1:15" ht="15.75" customHeight="1" x14ac:dyDescent="0.35">
      <c r="A681" s="9"/>
      <c r="H681" s="9"/>
      <c r="O681" s="9"/>
    </row>
    <row r="682" spans="1:15" ht="15.75" customHeight="1" x14ac:dyDescent="0.35">
      <c r="A682" s="9"/>
      <c r="H682" s="9"/>
      <c r="O682" s="9"/>
    </row>
    <row r="683" spans="1:15" ht="15.75" customHeight="1" x14ac:dyDescent="0.35">
      <c r="A683" s="9"/>
      <c r="H683" s="9"/>
      <c r="O683" s="9"/>
    </row>
    <row r="684" spans="1:15" ht="15.75" customHeight="1" x14ac:dyDescent="0.35">
      <c r="A684" s="9"/>
      <c r="H684" s="9"/>
      <c r="O684" s="9"/>
    </row>
    <row r="685" spans="1:15" ht="15.75" customHeight="1" x14ac:dyDescent="0.35">
      <c r="A685" s="9"/>
      <c r="H685" s="9"/>
      <c r="O685" s="9"/>
    </row>
    <row r="686" spans="1:15" ht="15.75" customHeight="1" x14ac:dyDescent="0.35">
      <c r="A686" s="9"/>
      <c r="H686" s="9"/>
      <c r="O686" s="9"/>
    </row>
    <row r="687" spans="1:15" ht="15.75" customHeight="1" x14ac:dyDescent="0.35">
      <c r="A687" s="9"/>
      <c r="H687" s="9"/>
      <c r="O687" s="9"/>
    </row>
    <row r="688" spans="1:15" ht="15.75" customHeight="1" x14ac:dyDescent="0.35">
      <c r="A688" s="9"/>
      <c r="H688" s="9"/>
      <c r="O688" s="9"/>
    </row>
    <row r="689" spans="1:15" ht="15.75" customHeight="1" x14ac:dyDescent="0.35">
      <c r="A689" s="9"/>
      <c r="H689" s="9"/>
      <c r="O689" s="9"/>
    </row>
    <row r="690" spans="1:15" ht="15.75" customHeight="1" x14ac:dyDescent="0.35">
      <c r="A690" s="9"/>
      <c r="H690" s="9"/>
      <c r="O690" s="9"/>
    </row>
    <row r="691" spans="1:15" ht="15.75" customHeight="1" x14ac:dyDescent="0.35">
      <c r="A691" s="9"/>
      <c r="H691" s="9"/>
      <c r="O691" s="9"/>
    </row>
    <row r="692" spans="1:15" ht="15.75" customHeight="1" x14ac:dyDescent="0.35">
      <c r="A692" s="9"/>
      <c r="H692" s="9"/>
      <c r="O692" s="9"/>
    </row>
    <row r="693" spans="1:15" ht="15.75" customHeight="1" x14ac:dyDescent="0.35">
      <c r="A693" s="9"/>
      <c r="H693" s="9"/>
      <c r="O693" s="9"/>
    </row>
    <row r="694" spans="1:15" ht="15.75" customHeight="1" x14ac:dyDescent="0.35">
      <c r="A694" s="9"/>
      <c r="H694" s="9"/>
      <c r="O694" s="9"/>
    </row>
    <row r="695" spans="1:15" ht="15.75" customHeight="1" x14ac:dyDescent="0.35">
      <c r="A695" s="9"/>
      <c r="H695" s="9"/>
      <c r="O695" s="9"/>
    </row>
    <row r="696" spans="1:15" ht="15.75" customHeight="1" x14ac:dyDescent="0.35">
      <c r="A696" s="9"/>
      <c r="H696" s="9"/>
      <c r="O696" s="9"/>
    </row>
    <row r="697" spans="1:15" ht="15.75" customHeight="1" x14ac:dyDescent="0.35">
      <c r="A697" s="9"/>
      <c r="H697" s="9"/>
      <c r="O697" s="9"/>
    </row>
    <row r="698" spans="1:15" ht="15.75" customHeight="1" x14ac:dyDescent="0.35">
      <c r="A698" s="9"/>
      <c r="H698" s="9"/>
      <c r="O698" s="9"/>
    </row>
    <row r="699" spans="1:15" ht="15.75" customHeight="1" x14ac:dyDescent="0.35">
      <c r="A699" s="9"/>
      <c r="H699" s="9"/>
      <c r="O699" s="9"/>
    </row>
    <row r="700" spans="1:15" ht="15.75" customHeight="1" x14ac:dyDescent="0.35">
      <c r="A700" s="9"/>
      <c r="H700" s="9"/>
      <c r="O700" s="9"/>
    </row>
    <row r="701" spans="1:15" ht="15.75" customHeight="1" x14ac:dyDescent="0.35">
      <c r="A701" s="9"/>
      <c r="H701" s="9"/>
      <c r="O701" s="9"/>
    </row>
    <row r="702" spans="1:15" ht="15.75" customHeight="1" x14ac:dyDescent="0.35">
      <c r="A702" s="9"/>
      <c r="H702" s="9"/>
      <c r="O702" s="9"/>
    </row>
    <row r="703" spans="1:15" ht="15.75" customHeight="1" x14ac:dyDescent="0.35">
      <c r="A703" s="9"/>
      <c r="H703" s="9"/>
      <c r="O703" s="9"/>
    </row>
    <row r="704" spans="1:15" ht="15.75" customHeight="1" x14ac:dyDescent="0.35">
      <c r="A704" s="9"/>
      <c r="H704" s="9"/>
      <c r="O704" s="9"/>
    </row>
    <row r="705" spans="1:15" ht="15.75" customHeight="1" x14ac:dyDescent="0.35">
      <c r="A705" s="9"/>
      <c r="H705" s="9"/>
      <c r="O705" s="9"/>
    </row>
    <row r="706" spans="1:15" ht="15.75" customHeight="1" x14ac:dyDescent="0.35">
      <c r="A706" s="9"/>
      <c r="H706" s="9"/>
      <c r="O706" s="9"/>
    </row>
    <row r="707" spans="1:15" ht="15.75" customHeight="1" x14ac:dyDescent="0.35">
      <c r="A707" s="9"/>
      <c r="H707" s="9"/>
      <c r="O707" s="9"/>
    </row>
    <row r="708" spans="1:15" ht="15.75" customHeight="1" x14ac:dyDescent="0.35">
      <c r="A708" s="9"/>
      <c r="H708" s="9"/>
      <c r="O708" s="9"/>
    </row>
    <row r="709" spans="1:15" ht="15.75" customHeight="1" x14ac:dyDescent="0.35">
      <c r="A709" s="9"/>
      <c r="H709" s="9"/>
      <c r="O709" s="9"/>
    </row>
    <row r="710" spans="1:15" ht="15.75" customHeight="1" x14ac:dyDescent="0.35">
      <c r="A710" s="9"/>
      <c r="H710" s="9"/>
      <c r="O710" s="9"/>
    </row>
    <row r="711" spans="1:15" ht="15.75" customHeight="1" x14ac:dyDescent="0.35">
      <c r="A711" s="9"/>
      <c r="H711" s="9"/>
      <c r="O711" s="9"/>
    </row>
    <row r="712" spans="1:15" ht="15.75" customHeight="1" x14ac:dyDescent="0.35">
      <c r="A712" s="9"/>
      <c r="H712" s="9"/>
      <c r="O712" s="9"/>
    </row>
    <row r="713" spans="1:15" ht="15.75" customHeight="1" x14ac:dyDescent="0.35">
      <c r="A713" s="9"/>
      <c r="H713" s="9"/>
      <c r="O713" s="9"/>
    </row>
    <row r="714" spans="1:15" ht="15.75" customHeight="1" x14ac:dyDescent="0.35">
      <c r="A714" s="9"/>
      <c r="H714" s="9"/>
      <c r="O714" s="9"/>
    </row>
    <row r="715" spans="1:15" ht="15.75" customHeight="1" x14ac:dyDescent="0.35">
      <c r="A715" s="9"/>
      <c r="H715" s="9"/>
      <c r="O715" s="9"/>
    </row>
    <row r="716" spans="1:15" ht="15.75" customHeight="1" x14ac:dyDescent="0.35">
      <c r="A716" s="9"/>
      <c r="H716" s="9"/>
      <c r="O716" s="9"/>
    </row>
    <row r="717" spans="1:15" ht="15.75" customHeight="1" x14ac:dyDescent="0.35">
      <c r="A717" s="9"/>
      <c r="H717" s="9"/>
      <c r="O717" s="9"/>
    </row>
    <row r="718" spans="1:15" ht="15.75" customHeight="1" x14ac:dyDescent="0.35">
      <c r="A718" s="9"/>
      <c r="H718" s="9"/>
      <c r="O718" s="9"/>
    </row>
    <row r="719" spans="1:15" ht="15.75" customHeight="1" x14ac:dyDescent="0.35">
      <c r="A719" s="9"/>
      <c r="H719" s="9"/>
      <c r="O719" s="9"/>
    </row>
    <row r="720" spans="1:15" ht="15.75" customHeight="1" x14ac:dyDescent="0.35">
      <c r="A720" s="9"/>
      <c r="H720" s="9"/>
      <c r="O720" s="9"/>
    </row>
    <row r="721" spans="1:15" ht="15.75" customHeight="1" x14ac:dyDescent="0.35">
      <c r="A721" s="9"/>
      <c r="H721" s="9"/>
      <c r="O721" s="9"/>
    </row>
    <row r="722" spans="1:15" ht="15.75" customHeight="1" x14ac:dyDescent="0.35">
      <c r="A722" s="9"/>
      <c r="H722" s="9"/>
      <c r="O722" s="9"/>
    </row>
    <row r="723" spans="1:15" ht="15.75" customHeight="1" x14ac:dyDescent="0.35">
      <c r="A723" s="9"/>
      <c r="H723" s="9"/>
      <c r="O723" s="9"/>
    </row>
    <row r="724" spans="1:15" ht="15.75" customHeight="1" x14ac:dyDescent="0.35">
      <c r="A724" s="9"/>
      <c r="H724" s="9"/>
      <c r="O724" s="9"/>
    </row>
    <row r="725" spans="1:15" ht="15.75" customHeight="1" x14ac:dyDescent="0.35">
      <c r="A725" s="9"/>
      <c r="H725" s="9"/>
      <c r="O725" s="9"/>
    </row>
    <row r="726" spans="1:15" ht="15.75" customHeight="1" x14ac:dyDescent="0.35">
      <c r="A726" s="9"/>
      <c r="H726" s="9"/>
      <c r="O726" s="9"/>
    </row>
    <row r="727" spans="1:15" ht="15.75" customHeight="1" x14ac:dyDescent="0.35">
      <c r="A727" s="9"/>
      <c r="H727" s="9"/>
      <c r="O727" s="9"/>
    </row>
    <row r="728" spans="1:15" ht="15.75" customHeight="1" x14ac:dyDescent="0.35">
      <c r="A728" s="9"/>
      <c r="H728" s="9"/>
      <c r="O728" s="9"/>
    </row>
    <row r="729" spans="1:15" ht="15.75" customHeight="1" x14ac:dyDescent="0.35">
      <c r="A729" s="9"/>
      <c r="H729" s="9"/>
      <c r="O729" s="9"/>
    </row>
    <row r="730" spans="1:15" ht="15.75" customHeight="1" x14ac:dyDescent="0.35">
      <c r="A730" s="9"/>
      <c r="H730" s="9"/>
      <c r="O730" s="9"/>
    </row>
    <row r="731" spans="1:15" ht="15.75" customHeight="1" x14ac:dyDescent="0.35">
      <c r="A731" s="9"/>
      <c r="H731" s="9"/>
      <c r="O731" s="9"/>
    </row>
    <row r="732" spans="1:15" ht="15.75" customHeight="1" x14ac:dyDescent="0.35">
      <c r="A732" s="9"/>
      <c r="H732" s="9"/>
      <c r="O732" s="9"/>
    </row>
    <row r="733" spans="1:15" ht="15.75" customHeight="1" x14ac:dyDescent="0.35">
      <c r="A733" s="9"/>
      <c r="H733" s="9"/>
      <c r="O733" s="9"/>
    </row>
    <row r="734" spans="1:15" ht="15.75" customHeight="1" x14ac:dyDescent="0.35">
      <c r="A734" s="9"/>
      <c r="H734" s="9"/>
      <c r="O734" s="9"/>
    </row>
    <row r="735" spans="1:15" ht="15.75" customHeight="1" x14ac:dyDescent="0.35">
      <c r="A735" s="9"/>
      <c r="H735" s="9"/>
      <c r="O735" s="9"/>
    </row>
    <row r="736" spans="1:15" ht="15.75" customHeight="1" x14ac:dyDescent="0.35">
      <c r="A736" s="9"/>
      <c r="H736" s="9"/>
      <c r="O736" s="9"/>
    </row>
    <row r="737" spans="1:15" ht="15.75" customHeight="1" x14ac:dyDescent="0.35">
      <c r="A737" s="9"/>
      <c r="H737" s="9"/>
      <c r="O737" s="9"/>
    </row>
    <row r="738" spans="1:15" ht="15.75" customHeight="1" x14ac:dyDescent="0.35">
      <c r="A738" s="9"/>
      <c r="H738" s="9"/>
      <c r="O738" s="9"/>
    </row>
    <row r="739" spans="1:15" ht="15.75" customHeight="1" x14ac:dyDescent="0.35">
      <c r="A739" s="9"/>
      <c r="H739" s="9"/>
      <c r="O739" s="9"/>
    </row>
    <row r="740" spans="1:15" ht="15.75" customHeight="1" x14ac:dyDescent="0.35">
      <c r="A740" s="9"/>
      <c r="H740" s="9"/>
      <c r="O740" s="9"/>
    </row>
    <row r="741" spans="1:15" ht="15.75" customHeight="1" x14ac:dyDescent="0.35">
      <c r="A741" s="9"/>
      <c r="H741" s="9"/>
      <c r="O741" s="9"/>
    </row>
    <row r="742" spans="1:15" ht="15.75" customHeight="1" x14ac:dyDescent="0.35">
      <c r="A742" s="9"/>
      <c r="H742" s="9"/>
      <c r="O742" s="9"/>
    </row>
    <row r="743" spans="1:15" ht="15.75" customHeight="1" x14ac:dyDescent="0.35">
      <c r="A743" s="9"/>
      <c r="H743" s="9"/>
      <c r="O743" s="9"/>
    </row>
    <row r="744" spans="1:15" ht="15.75" customHeight="1" x14ac:dyDescent="0.35">
      <c r="A744" s="9"/>
      <c r="H744" s="9"/>
      <c r="O744" s="9"/>
    </row>
    <row r="745" spans="1:15" ht="15.75" customHeight="1" x14ac:dyDescent="0.35">
      <c r="A745" s="9"/>
      <c r="H745" s="9"/>
      <c r="O745" s="9"/>
    </row>
    <row r="746" spans="1:15" ht="15.75" customHeight="1" x14ac:dyDescent="0.35">
      <c r="A746" s="9"/>
      <c r="H746" s="9"/>
      <c r="O746" s="9"/>
    </row>
    <row r="747" spans="1:15" ht="15.75" customHeight="1" x14ac:dyDescent="0.35">
      <c r="A747" s="9"/>
      <c r="H747" s="9"/>
      <c r="O747" s="9"/>
    </row>
    <row r="748" spans="1:15" ht="15.75" customHeight="1" x14ac:dyDescent="0.35">
      <c r="A748" s="9"/>
      <c r="H748" s="9"/>
      <c r="O748" s="9"/>
    </row>
    <row r="749" spans="1:15" ht="15.75" customHeight="1" x14ac:dyDescent="0.35">
      <c r="A749" s="9"/>
      <c r="H749" s="9"/>
      <c r="O749" s="9"/>
    </row>
    <row r="750" spans="1:15" ht="15.75" customHeight="1" x14ac:dyDescent="0.35">
      <c r="A750" s="9"/>
      <c r="H750" s="9"/>
      <c r="O750" s="9"/>
    </row>
    <row r="751" spans="1:15" ht="15.75" customHeight="1" x14ac:dyDescent="0.35">
      <c r="A751" s="9"/>
      <c r="H751" s="9"/>
      <c r="O751" s="9"/>
    </row>
    <row r="752" spans="1:15" ht="15.75" customHeight="1" x14ac:dyDescent="0.35">
      <c r="A752" s="9"/>
      <c r="H752" s="9"/>
      <c r="O752" s="9"/>
    </row>
    <row r="753" spans="1:15" ht="15.75" customHeight="1" x14ac:dyDescent="0.35">
      <c r="A753" s="9"/>
      <c r="H753" s="9"/>
      <c r="O753" s="9"/>
    </row>
    <row r="754" spans="1:15" ht="15.75" customHeight="1" x14ac:dyDescent="0.35">
      <c r="A754" s="9"/>
      <c r="H754" s="9"/>
      <c r="O754" s="9"/>
    </row>
    <row r="755" spans="1:15" ht="15.75" customHeight="1" x14ac:dyDescent="0.35">
      <c r="A755" s="9"/>
      <c r="H755" s="9"/>
      <c r="O755" s="9"/>
    </row>
    <row r="756" spans="1:15" ht="15.75" customHeight="1" x14ac:dyDescent="0.35">
      <c r="A756" s="9"/>
      <c r="H756" s="9"/>
      <c r="O756" s="9"/>
    </row>
    <row r="757" spans="1:15" ht="15.75" customHeight="1" x14ac:dyDescent="0.35">
      <c r="A757" s="9"/>
      <c r="H757" s="9"/>
      <c r="O757" s="9"/>
    </row>
    <row r="758" spans="1:15" ht="15.75" customHeight="1" x14ac:dyDescent="0.35">
      <c r="A758" s="9"/>
      <c r="H758" s="9"/>
      <c r="O758" s="9"/>
    </row>
    <row r="759" spans="1:15" ht="15.75" customHeight="1" x14ac:dyDescent="0.35">
      <c r="A759" s="9"/>
      <c r="H759" s="9"/>
      <c r="O759" s="9"/>
    </row>
    <row r="760" spans="1:15" ht="15.75" customHeight="1" x14ac:dyDescent="0.35">
      <c r="A760" s="9"/>
      <c r="H760" s="9"/>
      <c r="O760" s="9"/>
    </row>
    <row r="761" spans="1:15" ht="15.75" customHeight="1" x14ac:dyDescent="0.35">
      <c r="A761" s="9"/>
      <c r="H761" s="9"/>
      <c r="O761" s="9"/>
    </row>
    <row r="762" spans="1:15" ht="15.75" customHeight="1" x14ac:dyDescent="0.35">
      <c r="A762" s="9"/>
      <c r="H762" s="9"/>
      <c r="O762" s="9"/>
    </row>
    <row r="763" spans="1:15" ht="15.75" customHeight="1" x14ac:dyDescent="0.35">
      <c r="A763" s="9"/>
      <c r="H763" s="9"/>
      <c r="O763" s="9"/>
    </row>
    <row r="764" spans="1:15" ht="15.75" customHeight="1" x14ac:dyDescent="0.35">
      <c r="A764" s="9"/>
      <c r="H764" s="9"/>
      <c r="O764" s="9"/>
    </row>
    <row r="765" spans="1:15" ht="15.75" customHeight="1" x14ac:dyDescent="0.35">
      <c r="A765" s="9"/>
      <c r="H765" s="9"/>
      <c r="O765" s="9"/>
    </row>
    <row r="766" spans="1:15" ht="15.75" customHeight="1" x14ac:dyDescent="0.35">
      <c r="A766" s="9"/>
      <c r="H766" s="9"/>
      <c r="O766" s="9"/>
    </row>
    <row r="767" spans="1:15" ht="15.75" customHeight="1" x14ac:dyDescent="0.35">
      <c r="A767" s="9"/>
      <c r="H767" s="9"/>
      <c r="O767" s="9"/>
    </row>
    <row r="768" spans="1:15" ht="15.75" customHeight="1" x14ac:dyDescent="0.35">
      <c r="A768" s="9"/>
      <c r="H768" s="9"/>
      <c r="O768" s="9"/>
    </row>
    <row r="769" spans="1:15" ht="15.75" customHeight="1" x14ac:dyDescent="0.35">
      <c r="A769" s="9"/>
      <c r="H769" s="9"/>
      <c r="O769" s="9"/>
    </row>
    <row r="770" spans="1:15" ht="15.75" customHeight="1" x14ac:dyDescent="0.35">
      <c r="A770" s="9"/>
      <c r="H770" s="9"/>
      <c r="O770" s="9"/>
    </row>
    <row r="771" spans="1:15" ht="15.75" customHeight="1" x14ac:dyDescent="0.35">
      <c r="A771" s="9"/>
      <c r="H771" s="9"/>
      <c r="O771" s="9"/>
    </row>
    <row r="772" spans="1:15" ht="15.75" customHeight="1" x14ac:dyDescent="0.35">
      <c r="A772" s="9"/>
      <c r="H772" s="9"/>
      <c r="O772" s="9"/>
    </row>
    <row r="773" spans="1:15" ht="15.75" customHeight="1" x14ac:dyDescent="0.35">
      <c r="A773" s="9"/>
      <c r="H773" s="9"/>
      <c r="O773" s="9"/>
    </row>
    <row r="774" spans="1:15" ht="15.75" customHeight="1" x14ac:dyDescent="0.35">
      <c r="A774" s="9"/>
      <c r="H774" s="9"/>
      <c r="O774" s="9"/>
    </row>
    <row r="775" spans="1:15" ht="15.75" customHeight="1" x14ac:dyDescent="0.35">
      <c r="A775" s="9"/>
      <c r="H775" s="9"/>
      <c r="O775" s="9"/>
    </row>
    <row r="776" spans="1:15" ht="15.75" customHeight="1" x14ac:dyDescent="0.35">
      <c r="A776" s="9"/>
      <c r="H776" s="9"/>
      <c r="O776" s="9"/>
    </row>
    <row r="777" spans="1:15" ht="15.75" customHeight="1" x14ac:dyDescent="0.35">
      <c r="A777" s="9"/>
      <c r="H777" s="9"/>
      <c r="O777" s="9"/>
    </row>
    <row r="778" spans="1:15" ht="15.75" customHeight="1" x14ac:dyDescent="0.35">
      <c r="A778" s="9"/>
      <c r="H778" s="9"/>
      <c r="O778" s="9"/>
    </row>
    <row r="779" spans="1:15" ht="15.75" customHeight="1" x14ac:dyDescent="0.35">
      <c r="A779" s="9"/>
      <c r="H779" s="9"/>
      <c r="O779" s="9"/>
    </row>
    <row r="780" spans="1:15" ht="15.75" customHeight="1" x14ac:dyDescent="0.35">
      <c r="A780" s="9"/>
      <c r="H780" s="9"/>
      <c r="O780" s="9"/>
    </row>
    <row r="781" spans="1:15" ht="15.75" customHeight="1" x14ac:dyDescent="0.35">
      <c r="A781" s="9"/>
      <c r="H781" s="9"/>
      <c r="O781" s="9"/>
    </row>
    <row r="782" spans="1:15" ht="15.75" customHeight="1" x14ac:dyDescent="0.35">
      <c r="A782" s="9"/>
      <c r="H782" s="9"/>
      <c r="O782" s="9"/>
    </row>
    <row r="783" spans="1:15" ht="15.75" customHeight="1" x14ac:dyDescent="0.35">
      <c r="A783" s="9"/>
      <c r="H783" s="9"/>
      <c r="O783" s="9"/>
    </row>
    <row r="784" spans="1:15" ht="15.75" customHeight="1" x14ac:dyDescent="0.35">
      <c r="A784" s="9"/>
      <c r="H784" s="9"/>
      <c r="O784" s="9"/>
    </row>
    <row r="785" spans="1:15" ht="15.75" customHeight="1" x14ac:dyDescent="0.35">
      <c r="A785" s="9"/>
      <c r="H785" s="9"/>
      <c r="O785" s="9"/>
    </row>
    <row r="786" spans="1:15" ht="15.75" customHeight="1" x14ac:dyDescent="0.35">
      <c r="A786" s="9"/>
      <c r="H786" s="9"/>
      <c r="O786" s="9"/>
    </row>
    <row r="787" spans="1:15" ht="15.75" customHeight="1" x14ac:dyDescent="0.35">
      <c r="A787" s="9"/>
      <c r="H787" s="9"/>
      <c r="O787" s="9"/>
    </row>
    <row r="788" spans="1:15" ht="15.75" customHeight="1" x14ac:dyDescent="0.35">
      <c r="A788" s="9"/>
      <c r="H788" s="9"/>
      <c r="O788" s="9"/>
    </row>
    <row r="789" spans="1:15" ht="15.75" customHeight="1" x14ac:dyDescent="0.35">
      <c r="A789" s="9"/>
      <c r="H789" s="9"/>
      <c r="O789" s="9"/>
    </row>
    <row r="790" spans="1:15" ht="15.75" customHeight="1" x14ac:dyDescent="0.35">
      <c r="A790" s="9"/>
      <c r="H790" s="9"/>
      <c r="O790" s="9"/>
    </row>
    <row r="791" spans="1:15" ht="15.75" customHeight="1" x14ac:dyDescent="0.35">
      <c r="A791" s="9"/>
      <c r="H791" s="9"/>
      <c r="O791" s="9"/>
    </row>
    <row r="792" spans="1:15" ht="15.75" customHeight="1" x14ac:dyDescent="0.35">
      <c r="A792" s="9"/>
      <c r="H792" s="9"/>
      <c r="O792" s="9"/>
    </row>
    <row r="793" spans="1:15" ht="15.75" customHeight="1" x14ac:dyDescent="0.35">
      <c r="A793" s="9"/>
      <c r="H793" s="9"/>
      <c r="O793" s="9"/>
    </row>
    <row r="794" spans="1:15" ht="15.75" customHeight="1" x14ac:dyDescent="0.35">
      <c r="A794" s="9"/>
      <c r="H794" s="9"/>
      <c r="O794" s="9"/>
    </row>
    <row r="795" spans="1:15" ht="15.75" customHeight="1" x14ac:dyDescent="0.35">
      <c r="A795" s="9"/>
      <c r="H795" s="9"/>
      <c r="O795" s="9"/>
    </row>
    <row r="796" spans="1:15" ht="15.75" customHeight="1" x14ac:dyDescent="0.35">
      <c r="A796" s="9"/>
      <c r="H796" s="9"/>
      <c r="O796" s="9"/>
    </row>
    <row r="797" spans="1:15" ht="15.75" customHeight="1" x14ac:dyDescent="0.35">
      <c r="A797" s="9"/>
      <c r="H797" s="9"/>
      <c r="O797" s="9"/>
    </row>
    <row r="798" spans="1:15" ht="15.75" customHeight="1" x14ac:dyDescent="0.35">
      <c r="A798" s="9"/>
      <c r="H798" s="9"/>
      <c r="O798" s="9"/>
    </row>
    <row r="799" spans="1:15" ht="15.75" customHeight="1" x14ac:dyDescent="0.35">
      <c r="A799" s="9"/>
      <c r="H799" s="9"/>
      <c r="O799" s="9"/>
    </row>
    <row r="800" spans="1:15" ht="15.75" customHeight="1" x14ac:dyDescent="0.35">
      <c r="A800" s="9"/>
      <c r="H800" s="9"/>
      <c r="O800" s="9"/>
    </row>
    <row r="801" spans="1:15" ht="15.75" customHeight="1" x14ac:dyDescent="0.35">
      <c r="A801" s="9"/>
      <c r="H801" s="9"/>
      <c r="O801" s="9"/>
    </row>
    <row r="802" spans="1:15" ht="15.75" customHeight="1" x14ac:dyDescent="0.35">
      <c r="A802" s="9"/>
      <c r="H802" s="9"/>
      <c r="O802" s="9"/>
    </row>
    <row r="803" spans="1:15" ht="15.75" customHeight="1" x14ac:dyDescent="0.35">
      <c r="A803" s="9"/>
      <c r="H803" s="9"/>
      <c r="O803" s="9"/>
    </row>
    <row r="804" spans="1:15" ht="15.75" customHeight="1" x14ac:dyDescent="0.35">
      <c r="A804" s="9"/>
      <c r="H804" s="9"/>
      <c r="O804" s="9"/>
    </row>
    <row r="805" spans="1:15" ht="15.75" customHeight="1" x14ac:dyDescent="0.35">
      <c r="A805" s="9"/>
      <c r="H805" s="9"/>
      <c r="O805" s="9"/>
    </row>
    <row r="806" spans="1:15" ht="15.75" customHeight="1" x14ac:dyDescent="0.35">
      <c r="A806" s="9"/>
      <c r="H806" s="9"/>
      <c r="O806" s="9"/>
    </row>
    <row r="807" spans="1:15" ht="15.75" customHeight="1" x14ac:dyDescent="0.35">
      <c r="A807" s="9"/>
      <c r="H807" s="9"/>
      <c r="O807" s="9"/>
    </row>
    <row r="808" spans="1:15" ht="15.75" customHeight="1" x14ac:dyDescent="0.35">
      <c r="A808" s="9"/>
      <c r="H808" s="9"/>
      <c r="O808" s="9"/>
    </row>
    <row r="809" spans="1:15" ht="15.75" customHeight="1" x14ac:dyDescent="0.35">
      <c r="A809" s="9"/>
      <c r="H809" s="9"/>
      <c r="O809" s="9"/>
    </row>
    <row r="810" spans="1:15" ht="15.75" customHeight="1" x14ac:dyDescent="0.35">
      <c r="A810" s="9"/>
      <c r="H810" s="9"/>
      <c r="O810" s="9"/>
    </row>
    <row r="811" spans="1:15" ht="15.75" customHeight="1" x14ac:dyDescent="0.35">
      <c r="A811" s="9"/>
      <c r="H811" s="9"/>
      <c r="O811" s="9"/>
    </row>
    <row r="812" spans="1:15" ht="15.75" customHeight="1" x14ac:dyDescent="0.35">
      <c r="A812" s="9"/>
      <c r="H812" s="9"/>
      <c r="O812" s="9"/>
    </row>
    <row r="813" spans="1:15" ht="15.75" customHeight="1" x14ac:dyDescent="0.35">
      <c r="A813" s="9"/>
      <c r="H813" s="9"/>
      <c r="O813" s="9"/>
    </row>
    <row r="814" spans="1:15" ht="15.75" customHeight="1" x14ac:dyDescent="0.35">
      <c r="A814" s="9"/>
      <c r="H814" s="9"/>
      <c r="O814" s="9"/>
    </row>
    <row r="815" spans="1:15" ht="15.75" customHeight="1" x14ac:dyDescent="0.35">
      <c r="A815" s="9"/>
      <c r="H815" s="9"/>
      <c r="O815" s="9"/>
    </row>
    <row r="816" spans="1:15" ht="15.75" customHeight="1" x14ac:dyDescent="0.35">
      <c r="A816" s="9"/>
      <c r="H816" s="9"/>
      <c r="O816" s="9"/>
    </row>
    <row r="817" spans="1:15" ht="15.75" customHeight="1" x14ac:dyDescent="0.35">
      <c r="A817" s="9"/>
      <c r="H817" s="9"/>
      <c r="O817" s="9"/>
    </row>
    <row r="818" spans="1:15" ht="15.75" customHeight="1" x14ac:dyDescent="0.35">
      <c r="A818" s="9"/>
      <c r="H818" s="9"/>
      <c r="O818" s="9"/>
    </row>
    <row r="819" spans="1:15" ht="15.75" customHeight="1" x14ac:dyDescent="0.35">
      <c r="A819" s="9"/>
      <c r="H819" s="9"/>
      <c r="O819" s="9"/>
    </row>
    <row r="820" spans="1:15" ht="15.75" customHeight="1" x14ac:dyDescent="0.35">
      <c r="A820" s="9"/>
      <c r="H820" s="9"/>
      <c r="O820" s="9"/>
    </row>
    <row r="821" spans="1:15" ht="15.75" customHeight="1" x14ac:dyDescent="0.35">
      <c r="A821" s="9"/>
      <c r="H821" s="9"/>
      <c r="O821" s="9"/>
    </row>
    <row r="822" spans="1:15" ht="15.75" customHeight="1" x14ac:dyDescent="0.35">
      <c r="A822" s="9"/>
      <c r="H822" s="9"/>
      <c r="O822" s="9"/>
    </row>
    <row r="823" spans="1:15" ht="15.75" customHeight="1" x14ac:dyDescent="0.35">
      <c r="A823" s="9"/>
      <c r="H823" s="9"/>
      <c r="O823" s="9"/>
    </row>
    <row r="824" spans="1:15" ht="15.75" customHeight="1" x14ac:dyDescent="0.35">
      <c r="A824" s="9"/>
      <c r="H824" s="9"/>
      <c r="O824" s="9"/>
    </row>
    <row r="825" spans="1:15" ht="15.75" customHeight="1" x14ac:dyDescent="0.35">
      <c r="A825" s="9"/>
      <c r="H825" s="9"/>
      <c r="O825" s="9"/>
    </row>
    <row r="826" spans="1:15" ht="15.75" customHeight="1" x14ac:dyDescent="0.35">
      <c r="A826" s="9"/>
      <c r="H826" s="9"/>
      <c r="O826" s="9"/>
    </row>
    <row r="827" spans="1:15" ht="15.75" customHeight="1" x14ac:dyDescent="0.35">
      <c r="A827" s="9"/>
      <c r="H827" s="9"/>
      <c r="O827" s="9"/>
    </row>
    <row r="828" spans="1:15" ht="15.75" customHeight="1" x14ac:dyDescent="0.35">
      <c r="A828" s="9"/>
      <c r="H828" s="9"/>
      <c r="O828" s="9"/>
    </row>
    <row r="829" spans="1:15" ht="15.75" customHeight="1" x14ac:dyDescent="0.35">
      <c r="A829" s="9"/>
      <c r="H829" s="9"/>
      <c r="O829" s="9"/>
    </row>
    <row r="830" spans="1:15" ht="15.75" customHeight="1" x14ac:dyDescent="0.35">
      <c r="A830" s="9"/>
      <c r="H830" s="9"/>
      <c r="O830" s="9"/>
    </row>
    <row r="831" spans="1:15" ht="15.75" customHeight="1" x14ac:dyDescent="0.35">
      <c r="A831" s="9"/>
      <c r="H831" s="9"/>
      <c r="O831" s="9"/>
    </row>
    <row r="832" spans="1:15" ht="15.75" customHeight="1" x14ac:dyDescent="0.35">
      <c r="A832" s="9"/>
      <c r="H832" s="9"/>
      <c r="O832" s="9"/>
    </row>
    <row r="833" spans="1:15" ht="15.75" customHeight="1" x14ac:dyDescent="0.35">
      <c r="A833" s="9"/>
      <c r="H833" s="9"/>
      <c r="O833" s="9"/>
    </row>
    <row r="834" spans="1:15" ht="15.75" customHeight="1" x14ac:dyDescent="0.35">
      <c r="A834" s="9"/>
      <c r="H834" s="9"/>
      <c r="O834" s="9"/>
    </row>
    <row r="835" spans="1:15" ht="15.75" customHeight="1" x14ac:dyDescent="0.35">
      <c r="A835" s="9"/>
      <c r="H835" s="9"/>
      <c r="O835" s="9"/>
    </row>
    <row r="836" spans="1:15" ht="15.75" customHeight="1" x14ac:dyDescent="0.35">
      <c r="A836" s="9"/>
      <c r="H836" s="9"/>
      <c r="O836" s="9"/>
    </row>
    <row r="837" spans="1:15" ht="15.75" customHeight="1" x14ac:dyDescent="0.35">
      <c r="A837" s="9"/>
      <c r="H837" s="9"/>
      <c r="O837" s="9"/>
    </row>
    <row r="838" spans="1:15" ht="15.75" customHeight="1" x14ac:dyDescent="0.35">
      <c r="A838" s="9"/>
      <c r="H838" s="9"/>
      <c r="O838" s="9"/>
    </row>
    <row r="839" spans="1:15" ht="15.75" customHeight="1" x14ac:dyDescent="0.35">
      <c r="A839" s="9"/>
      <c r="H839" s="9"/>
      <c r="O839" s="9"/>
    </row>
    <row r="840" spans="1:15" ht="15.75" customHeight="1" x14ac:dyDescent="0.35">
      <c r="A840" s="9"/>
      <c r="H840" s="9"/>
      <c r="O840" s="9"/>
    </row>
    <row r="841" spans="1:15" ht="15.75" customHeight="1" x14ac:dyDescent="0.35">
      <c r="A841" s="9"/>
      <c r="H841" s="9"/>
      <c r="O841" s="9"/>
    </row>
    <row r="842" spans="1:15" ht="15.75" customHeight="1" x14ac:dyDescent="0.35">
      <c r="A842" s="9"/>
      <c r="H842" s="9"/>
      <c r="O842" s="9"/>
    </row>
    <row r="843" spans="1:15" ht="15.75" customHeight="1" x14ac:dyDescent="0.35">
      <c r="A843" s="9"/>
      <c r="H843" s="9"/>
      <c r="O843" s="9"/>
    </row>
    <row r="844" spans="1:15" ht="15.75" customHeight="1" x14ac:dyDescent="0.35">
      <c r="A844" s="9"/>
      <c r="H844" s="9"/>
      <c r="O844" s="9"/>
    </row>
    <row r="845" spans="1:15" ht="15.75" customHeight="1" x14ac:dyDescent="0.35">
      <c r="A845" s="9"/>
      <c r="H845" s="9"/>
      <c r="O845" s="9"/>
    </row>
    <row r="846" spans="1:15" ht="15.75" customHeight="1" x14ac:dyDescent="0.35">
      <c r="A846" s="9"/>
      <c r="H846" s="9"/>
      <c r="O846" s="9"/>
    </row>
    <row r="847" spans="1:15" ht="15.75" customHeight="1" x14ac:dyDescent="0.35">
      <c r="A847" s="9"/>
      <c r="H847" s="9"/>
      <c r="O847" s="9"/>
    </row>
    <row r="848" spans="1:15" ht="15.75" customHeight="1" x14ac:dyDescent="0.35">
      <c r="A848" s="9"/>
      <c r="H848" s="9"/>
      <c r="O848" s="9"/>
    </row>
    <row r="849" spans="1:15" ht="15.75" customHeight="1" x14ac:dyDescent="0.35">
      <c r="A849" s="9"/>
      <c r="H849" s="9"/>
      <c r="O849" s="9"/>
    </row>
    <row r="850" spans="1:15" ht="15.75" customHeight="1" x14ac:dyDescent="0.35">
      <c r="A850" s="9"/>
      <c r="H850" s="9"/>
      <c r="O850" s="9"/>
    </row>
    <row r="851" spans="1:15" ht="15.75" customHeight="1" x14ac:dyDescent="0.35">
      <c r="A851" s="9"/>
      <c r="H851" s="9"/>
      <c r="O851" s="9"/>
    </row>
    <row r="852" spans="1:15" ht="15.75" customHeight="1" x14ac:dyDescent="0.35">
      <c r="A852" s="9"/>
      <c r="H852" s="9"/>
      <c r="O852" s="9"/>
    </row>
    <row r="853" spans="1:15" ht="15.75" customHeight="1" x14ac:dyDescent="0.35">
      <c r="A853" s="9"/>
      <c r="H853" s="9"/>
      <c r="O853" s="9"/>
    </row>
    <row r="854" spans="1:15" ht="15.75" customHeight="1" x14ac:dyDescent="0.35">
      <c r="A854" s="9"/>
      <c r="H854" s="9"/>
      <c r="O854" s="9"/>
    </row>
    <row r="855" spans="1:15" ht="15.75" customHeight="1" x14ac:dyDescent="0.35">
      <c r="A855" s="9"/>
      <c r="H855" s="9"/>
      <c r="O855" s="9"/>
    </row>
    <row r="856" spans="1:15" ht="15.75" customHeight="1" x14ac:dyDescent="0.35">
      <c r="A856" s="9"/>
      <c r="H856" s="9"/>
      <c r="O856" s="9"/>
    </row>
    <row r="857" spans="1:15" ht="15.75" customHeight="1" x14ac:dyDescent="0.35">
      <c r="A857" s="9"/>
      <c r="H857" s="9"/>
      <c r="O857" s="9"/>
    </row>
    <row r="858" spans="1:15" ht="15.75" customHeight="1" x14ac:dyDescent="0.35">
      <c r="A858" s="9"/>
      <c r="H858" s="9"/>
      <c r="O858" s="9"/>
    </row>
    <row r="859" spans="1:15" ht="15.75" customHeight="1" x14ac:dyDescent="0.35">
      <c r="A859" s="9"/>
      <c r="H859" s="9"/>
      <c r="O859" s="9"/>
    </row>
    <row r="860" spans="1:15" ht="15.75" customHeight="1" x14ac:dyDescent="0.35">
      <c r="A860" s="9"/>
      <c r="H860" s="9"/>
      <c r="O860" s="9"/>
    </row>
    <row r="861" spans="1:15" ht="15.75" customHeight="1" x14ac:dyDescent="0.35">
      <c r="A861" s="9"/>
      <c r="H861" s="9"/>
      <c r="O861" s="9"/>
    </row>
    <row r="862" spans="1:15" ht="15.75" customHeight="1" x14ac:dyDescent="0.35">
      <c r="A862" s="9"/>
      <c r="H862" s="9"/>
      <c r="O862" s="9"/>
    </row>
    <row r="863" spans="1:15" ht="15.75" customHeight="1" x14ac:dyDescent="0.35">
      <c r="A863" s="9"/>
      <c r="H863" s="9"/>
      <c r="O863" s="9"/>
    </row>
    <row r="864" spans="1:15" ht="15.75" customHeight="1" x14ac:dyDescent="0.35">
      <c r="A864" s="9"/>
      <c r="H864" s="9"/>
      <c r="O864" s="9"/>
    </row>
    <row r="865" spans="1:15" ht="15.75" customHeight="1" x14ac:dyDescent="0.35">
      <c r="A865" s="9"/>
      <c r="H865" s="9"/>
      <c r="O865" s="9"/>
    </row>
    <row r="866" spans="1:15" ht="15.75" customHeight="1" x14ac:dyDescent="0.35">
      <c r="A866" s="9"/>
      <c r="H866" s="9"/>
      <c r="O866" s="9"/>
    </row>
    <row r="867" spans="1:15" ht="15.75" customHeight="1" x14ac:dyDescent="0.35">
      <c r="A867" s="9"/>
      <c r="H867" s="9"/>
      <c r="O867" s="9"/>
    </row>
    <row r="868" spans="1:15" ht="15.75" customHeight="1" x14ac:dyDescent="0.35">
      <c r="A868" s="9"/>
      <c r="H868" s="9"/>
      <c r="O868" s="9"/>
    </row>
    <row r="869" spans="1:15" ht="15.75" customHeight="1" x14ac:dyDescent="0.35">
      <c r="A869" s="9"/>
      <c r="H869" s="9"/>
      <c r="O869" s="9"/>
    </row>
    <row r="870" spans="1:15" ht="15.75" customHeight="1" x14ac:dyDescent="0.35">
      <c r="A870" s="9"/>
      <c r="H870" s="9"/>
      <c r="O870" s="9"/>
    </row>
    <row r="871" spans="1:15" ht="15.75" customHeight="1" x14ac:dyDescent="0.35">
      <c r="A871" s="9"/>
      <c r="H871" s="9"/>
      <c r="O871" s="9"/>
    </row>
    <row r="872" spans="1:15" ht="15.75" customHeight="1" x14ac:dyDescent="0.35">
      <c r="A872" s="9"/>
      <c r="H872" s="9"/>
      <c r="O872" s="9"/>
    </row>
    <row r="873" spans="1:15" ht="15.75" customHeight="1" x14ac:dyDescent="0.35">
      <c r="A873" s="9"/>
      <c r="H873" s="9"/>
      <c r="O873" s="9"/>
    </row>
    <row r="874" spans="1:15" ht="15.75" customHeight="1" x14ac:dyDescent="0.35">
      <c r="A874" s="9"/>
      <c r="H874" s="9"/>
      <c r="O874" s="9"/>
    </row>
    <row r="875" spans="1:15" ht="15.75" customHeight="1" x14ac:dyDescent="0.35">
      <c r="A875" s="9"/>
      <c r="H875" s="9"/>
      <c r="O875" s="9"/>
    </row>
    <row r="876" spans="1:15" ht="15.75" customHeight="1" x14ac:dyDescent="0.35">
      <c r="A876" s="9"/>
      <c r="H876" s="9"/>
      <c r="O876" s="9"/>
    </row>
    <row r="877" spans="1:15" ht="15.75" customHeight="1" x14ac:dyDescent="0.35">
      <c r="A877" s="9"/>
      <c r="H877" s="9"/>
      <c r="O877" s="9"/>
    </row>
    <row r="878" spans="1:15" ht="15.75" customHeight="1" x14ac:dyDescent="0.35">
      <c r="A878" s="9"/>
      <c r="H878" s="9"/>
      <c r="O878" s="9"/>
    </row>
    <row r="879" spans="1:15" ht="15.75" customHeight="1" x14ac:dyDescent="0.35">
      <c r="A879" s="9"/>
      <c r="H879" s="9"/>
      <c r="O879" s="9"/>
    </row>
    <row r="880" spans="1:15" ht="15.75" customHeight="1" x14ac:dyDescent="0.35">
      <c r="A880" s="9"/>
      <c r="H880" s="9"/>
      <c r="O880" s="9"/>
    </row>
    <row r="881" spans="1:15" ht="15.75" customHeight="1" x14ac:dyDescent="0.35">
      <c r="A881" s="9"/>
      <c r="H881" s="9"/>
      <c r="O881" s="9"/>
    </row>
    <row r="882" spans="1:15" ht="15.75" customHeight="1" x14ac:dyDescent="0.35">
      <c r="A882" s="9"/>
      <c r="H882" s="9"/>
      <c r="O882" s="9"/>
    </row>
    <row r="883" spans="1:15" ht="15.75" customHeight="1" x14ac:dyDescent="0.35">
      <c r="A883" s="9"/>
      <c r="H883" s="9"/>
      <c r="O883" s="9"/>
    </row>
    <row r="884" spans="1:15" ht="15.75" customHeight="1" x14ac:dyDescent="0.35">
      <c r="A884" s="9"/>
      <c r="H884" s="9"/>
      <c r="O884" s="9"/>
    </row>
    <row r="885" spans="1:15" ht="15.75" customHeight="1" x14ac:dyDescent="0.35">
      <c r="A885" s="9"/>
      <c r="H885" s="9"/>
      <c r="O885" s="9"/>
    </row>
    <row r="886" spans="1:15" ht="15.75" customHeight="1" x14ac:dyDescent="0.35">
      <c r="A886" s="9"/>
      <c r="H886" s="9"/>
      <c r="O886" s="9"/>
    </row>
    <row r="887" spans="1:15" ht="15.75" customHeight="1" x14ac:dyDescent="0.35">
      <c r="A887" s="9"/>
      <c r="H887" s="9"/>
      <c r="O887" s="9"/>
    </row>
    <row r="888" spans="1:15" ht="15.75" customHeight="1" x14ac:dyDescent="0.35">
      <c r="A888" s="9"/>
      <c r="H888" s="9"/>
      <c r="O888" s="9"/>
    </row>
    <row r="889" spans="1:15" ht="15.75" customHeight="1" x14ac:dyDescent="0.35">
      <c r="A889" s="9"/>
      <c r="H889" s="9"/>
      <c r="O889" s="9"/>
    </row>
    <row r="890" spans="1:15" ht="15.75" customHeight="1" x14ac:dyDescent="0.35">
      <c r="A890" s="9"/>
      <c r="H890" s="9"/>
      <c r="O890" s="9"/>
    </row>
    <row r="891" spans="1:15" ht="15.75" customHeight="1" x14ac:dyDescent="0.35">
      <c r="A891" s="9"/>
      <c r="H891" s="9"/>
      <c r="O891" s="9"/>
    </row>
    <row r="892" spans="1:15" ht="15.75" customHeight="1" x14ac:dyDescent="0.35">
      <c r="A892" s="9"/>
      <c r="H892" s="9"/>
      <c r="O892" s="9"/>
    </row>
    <row r="893" spans="1:15" ht="15.75" customHeight="1" x14ac:dyDescent="0.35">
      <c r="A893" s="9"/>
      <c r="H893" s="9"/>
      <c r="O893" s="9"/>
    </row>
    <row r="894" spans="1:15" ht="15.75" customHeight="1" x14ac:dyDescent="0.35">
      <c r="A894" s="9"/>
      <c r="H894" s="9"/>
      <c r="O894" s="9"/>
    </row>
    <row r="895" spans="1:15" ht="15.75" customHeight="1" x14ac:dyDescent="0.35">
      <c r="A895" s="9"/>
      <c r="H895" s="9"/>
      <c r="O895" s="9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opLeftCell="A7" workbookViewId="0">
      <selection activeCell="C28" sqref="C28"/>
    </sheetView>
  </sheetViews>
  <sheetFormatPr defaultColWidth="13.4140625" defaultRowHeight="15" customHeight="1" x14ac:dyDescent="0.35"/>
  <cols>
    <col min="2" max="3" width="16.33203125" customWidth="1"/>
  </cols>
  <sheetData>
    <row r="1" spans="1:8" ht="15.5" x14ac:dyDescent="0.35">
      <c r="B1" s="1"/>
      <c r="C1" s="1" t="s">
        <v>2</v>
      </c>
      <c r="D1" s="1"/>
      <c r="E1" s="1" t="s">
        <v>3</v>
      </c>
      <c r="G1" s="1"/>
      <c r="H1" s="1" t="s">
        <v>4</v>
      </c>
    </row>
    <row r="2" spans="1:8" ht="15" customHeight="1" x14ac:dyDescent="0.5">
      <c r="A2" s="5" t="s">
        <v>5</v>
      </c>
      <c r="B2" s="1"/>
      <c r="C2" s="1">
        <v>44561</v>
      </c>
      <c r="D2" s="1"/>
      <c r="E2" s="1">
        <v>8700471</v>
      </c>
      <c r="H2">
        <f t="shared" ref="H2:H29" si="0">ROUNDUP(E2*C2/$C$31,0)</f>
        <v>668172</v>
      </c>
    </row>
    <row r="3" spans="1:8" ht="15" customHeight="1" x14ac:dyDescent="0.5">
      <c r="A3" s="5" t="s">
        <v>17</v>
      </c>
      <c r="B3" s="1"/>
      <c r="C3" s="1">
        <v>41491</v>
      </c>
      <c r="D3" s="1"/>
      <c r="E3" s="1">
        <v>11299192</v>
      </c>
      <c r="H3">
        <f t="shared" si="0"/>
        <v>807963</v>
      </c>
    </row>
    <row r="4" spans="1:8" ht="15" customHeight="1" x14ac:dyDescent="0.5">
      <c r="A4" s="4" t="s">
        <v>6</v>
      </c>
      <c r="B4" s="1"/>
      <c r="C4" s="1">
        <v>6927</v>
      </c>
      <c r="D4" s="1"/>
      <c r="E4" s="1">
        <v>7364570</v>
      </c>
      <c r="H4">
        <f t="shared" si="0"/>
        <v>87919</v>
      </c>
    </row>
    <row r="5" spans="1:8" ht="15" customHeight="1" x14ac:dyDescent="0.4">
      <c r="A5" s="7" t="s">
        <v>18</v>
      </c>
      <c r="C5" s="1"/>
      <c r="D5" s="1"/>
      <c r="E5" s="1">
        <v>4290000</v>
      </c>
      <c r="H5">
        <f t="shared" si="0"/>
        <v>0</v>
      </c>
    </row>
    <row r="6" spans="1:8" ht="15" customHeight="1" x14ac:dyDescent="0.55000000000000004">
      <c r="A6" s="10" t="s">
        <v>30</v>
      </c>
      <c r="B6" s="1"/>
      <c r="C6" s="1">
        <v>32622</v>
      </c>
      <c r="D6" s="1"/>
      <c r="E6" s="1">
        <v>10545238</v>
      </c>
      <c r="H6">
        <f t="shared" si="0"/>
        <v>592867</v>
      </c>
    </row>
    <row r="7" spans="1:8" ht="15" customHeight="1" x14ac:dyDescent="0.5">
      <c r="A7" s="5" t="s">
        <v>20</v>
      </c>
      <c r="B7" s="1"/>
      <c r="C7" s="1"/>
      <c r="D7" s="1"/>
      <c r="E7" s="1">
        <v>5669081</v>
      </c>
      <c r="H7">
        <f t="shared" si="0"/>
        <v>0</v>
      </c>
    </row>
    <row r="8" spans="1:8" ht="15" customHeight="1" x14ac:dyDescent="0.5">
      <c r="A8" s="5" t="s">
        <v>21</v>
      </c>
      <c r="B8" s="1"/>
      <c r="C8" s="1"/>
      <c r="D8" s="1"/>
      <c r="E8" s="1">
        <v>1312558</v>
      </c>
      <c r="H8">
        <f t="shared" si="0"/>
        <v>0</v>
      </c>
    </row>
    <row r="9" spans="1:8" ht="15" customHeight="1" x14ac:dyDescent="0.5">
      <c r="A9" s="5" t="s">
        <v>22</v>
      </c>
      <c r="B9" s="1"/>
      <c r="C9" s="1"/>
      <c r="D9" s="1"/>
      <c r="E9" s="1">
        <v>5400000</v>
      </c>
      <c r="H9">
        <f t="shared" si="0"/>
        <v>0</v>
      </c>
    </row>
    <row r="10" spans="1:8" ht="15" customHeight="1" x14ac:dyDescent="0.5">
      <c r="A10" s="5" t="s">
        <v>23</v>
      </c>
      <c r="B10" s="1"/>
      <c r="C10" s="1">
        <v>41181</v>
      </c>
      <c r="D10" s="1"/>
      <c r="E10" s="1">
        <v>64395345</v>
      </c>
      <c r="H10">
        <f t="shared" si="0"/>
        <v>4570266</v>
      </c>
    </row>
    <row r="11" spans="1:8" ht="15" customHeight="1" x14ac:dyDescent="0.5">
      <c r="A11" s="5" t="s">
        <v>24</v>
      </c>
      <c r="B11" s="1"/>
      <c r="C11" s="1">
        <v>47033</v>
      </c>
      <c r="D11" s="1"/>
      <c r="E11" s="1">
        <v>80688545</v>
      </c>
      <c r="H11">
        <f t="shared" si="0"/>
        <v>6540406</v>
      </c>
    </row>
    <row r="12" spans="1:8" ht="15" customHeight="1" x14ac:dyDescent="0.5">
      <c r="A12" s="5" t="s">
        <v>9</v>
      </c>
      <c r="B12" s="1"/>
      <c r="C12" s="1">
        <v>18953</v>
      </c>
      <c r="D12" s="1"/>
      <c r="E12" s="1">
        <v>10955000</v>
      </c>
      <c r="H12">
        <f t="shared" si="0"/>
        <v>357834</v>
      </c>
    </row>
    <row r="13" spans="1:8" ht="15" customHeight="1" x14ac:dyDescent="0.5">
      <c r="A13" s="5" t="s">
        <v>10</v>
      </c>
      <c r="B13" s="1"/>
      <c r="C13" s="1">
        <v>13487</v>
      </c>
      <c r="D13" s="1"/>
      <c r="E13" s="1">
        <v>9823000</v>
      </c>
      <c r="H13">
        <f t="shared" si="0"/>
        <v>228323</v>
      </c>
    </row>
    <row r="14" spans="1:8" ht="15" customHeight="1" x14ac:dyDescent="0.4">
      <c r="A14" s="7" t="s">
        <v>25</v>
      </c>
      <c r="C14" s="1"/>
      <c r="D14" s="1"/>
      <c r="E14" s="1">
        <v>4688465</v>
      </c>
      <c r="H14">
        <f t="shared" si="0"/>
        <v>0</v>
      </c>
    </row>
    <row r="15" spans="1:8" ht="15" customHeight="1" x14ac:dyDescent="0.5">
      <c r="A15" s="5" t="s">
        <v>11</v>
      </c>
      <c r="B15" s="1"/>
      <c r="C15" s="1">
        <v>36191</v>
      </c>
      <c r="D15" s="1"/>
      <c r="E15" s="1">
        <v>59797685</v>
      </c>
      <c r="H15">
        <f t="shared" si="0"/>
        <v>3729710</v>
      </c>
    </row>
    <row r="16" spans="1:8" ht="15" customHeight="1" x14ac:dyDescent="0.4">
      <c r="A16" s="7" t="s">
        <v>28</v>
      </c>
      <c r="C16" s="1"/>
      <c r="D16" s="1"/>
      <c r="E16" s="1">
        <v>1970503</v>
      </c>
      <c r="H16">
        <f t="shared" si="0"/>
        <v>0</v>
      </c>
    </row>
    <row r="17" spans="1:8" ht="15" customHeight="1" x14ac:dyDescent="0.5">
      <c r="A17" s="5" t="s">
        <v>12</v>
      </c>
      <c r="B17" s="1"/>
      <c r="C17" s="1"/>
      <c r="D17" s="1"/>
      <c r="E17" s="1">
        <v>2900000</v>
      </c>
      <c r="H17">
        <f t="shared" si="0"/>
        <v>0</v>
      </c>
    </row>
    <row r="18" spans="1:8" ht="15" customHeight="1" x14ac:dyDescent="0.4">
      <c r="A18" s="7" t="s">
        <v>31</v>
      </c>
      <c r="C18" s="1"/>
      <c r="D18" s="1"/>
      <c r="E18" s="1">
        <v>563000</v>
      </c>
      <c r="H18">
        <f t="shared" si="0"/>
        <v>0</v>
      </c>
    </row>
    <row r="19" spans="1:8" ht="15" customHeight="1" x14ac:dyDescent="0.5">
      <c r="A19" s="4" t="s">
        <v>34</v>
      </c>
      <c r="B19" s="1"/>
      <c r="C19" s="1">
        <v>50339</v>
      </c>
      <c r="D19" s="1"/>
      <c r="E19" s="1">
        <v>17000059</v>
      </c>
      <c r="H19">
        <f t="shared" si="0"/>
        <v>1474841</v>
      </c>
    </row>
    <row r="20" spans="1:8" ht="15" customHeight="1" x14ac:dyDescent="0.5">
      <c r="A20" s="5" t="s">
        <v>35</v>
      </c>
      <c r="B20" s="1"/>
      <c r="C20" s="1"/>
      <c r="D20" s="1"/>
      <c r="E20" s="1">
        <v>5210967</v>
      </c>
      <c r="H20">
        <f t="shared" si="0"/>
        <v>0</v>
      </c>
    </row>
    <row r="21" spans="1:8" ht="15" customHeight="1" x14ac:dyDescent="0.5">
      <c r="A21" s="4" t="s">
        <v>13</v>
      </c>
      <c r="B21" s="1"/>
      <c r="C21" s="1">
        <v>27654</v>
      </c>
      <c r="D21" s="1"/>
      <c r="E21" s="1">
        <v>38611794</v>
      </c>
      <c r="H21">
        <f t="shared" si="0"/>
        <v>1840213</v>
      </c>
    </row>
    <row r="22" spans="1:8" ht="15" customHeight="1" x14ac:dyDescent="0.5">
      <c r="A22" s="5" t="s">
        <v>37</v>
      </c>
      <c r="B22" s="1"/>
      <c r="C22" s="1"/>
      <c r="D22" s="1"/>
      <c r="E22" s="1">
        <v>10376073</v>
      </c>
      <c r="H22">
        <f t="shared" si="0"/>
        <v>0</v>
      </c>
    </row>
    <row r="23" spans="1:8" ht="15" customHeight="1" x14ac:dyDescent="0.5">
      <c r="A23" s="5" t="s">
        <v>14</v>
      </c>
      <c r="B23" s="1"/>
      <c r="C23" s="1">
        <v>22319</v>
      </c>
      <c r="D23" s="1"/>
      <c r="E23" s="1">
        <v>19511324</v>
      </c>
      <c r="H23">
        <f t="shared" si="0"/>
        <v>750502</v>
      </c>
    </row>
    <row r="24" spans="1:8" ht="21" x14ac:dyDescent="0.5">
      <c r="A24" s="5" t="s">
        <v>38</v>
      </c>
      <c r="B24" s="1"/>
      <c r="C24" s="1"/>
      <c r="D24" s="1"/>
      <c r="E24" s="1">
        <v>5426258</v>
      </c>
      <c r="H24">
        <f t="shared" si="0"/>
        <v>0</v>
      </c>
    </row>
    <row r="25" spans="1:8" ht="18" x14ac:dyDescent="0.4">
      <c r="A25" s="15" t="s">
        <v>41</v>
      </c>
      <c r="C25" s="1"/>
      <c r="D25" s="1"/>
      <c r="E25" s="1">
        <v>2067526</v>
      </c>
      <c r="H25">
        <f t="shared" si="0"/>
        <v>0</v>
      </c>
    </row>
    <row r="26" spans="1:8" ht="21" x14ac:dyDescent="0.5">
      <c r="A26" s="13" t="s">
        <v>15</v>
      </c>
      <c r="B26" s="1"/>
      <c r="C26" s="1">
        <v>36143</v>
      </c>
      <c r="D26" s="1"/>
      <c r="E26" s="1">
        <v>46064604</v>
      </c>
      <c r="H26">
        <f t="shared" si="0"/>
        <v>2869338</v>
      </c>
    </row>
    <row r="27" spans="1:8" ht="21" x14ac:dyDescent="0.5">
      <c r="A27" s="13" t="s">
        <v>42</v>
      </c>
      <c r="B27" s="1"/>
      <c r="C27" s="1">
        <v>49678</v>
      </c>
      <c r="D27" s="1"/>
      <c r="E27" s="1">
        <v>9850000</v>
      </c>
      <c r="H27">
        <f t="shared" si="0"/>
        <v>843317</v>
      </c>
    </row>
    <row r="28" spans="1:8" ht="21" x14ac:dyDescent="0.5">
      <c r="A28" s="18" t="s">
        <v>46</v>
      </c>
      <c r="B28" s="1"/>
      <c r="C28" s="1">
        <v>69150</v>
      </c>
      <c r="D28" s="1"/>
      <c r="E28" s="1">
        <v>8298663</v>
      </c>
      <c r="H28">
        <f t="shared" si="0"/>
        <v>988987</v>
      </c>
    </row>
    <row r="29" spans="1:8" ht="21" x14ac:dyDescent="0.5">
      <c r="A29" s="18" t="s">
        <v>44</v>
      </c>
      <c r="B29" s="1"/>
      <c r="C29" s="1">
        <v>42514</v>
      </c>
      <c r="D29" s="1"/>
      <c r="E29" s="1">
        <v>64715810</v>
      </c>
      <c r="H29">
        <f t="shared" si="0"/>
        <v>4741683</v>
      </c>
    </row>
    <row r="31" spans="1:8" ht="15.5" x14ac:dyDescent="0.35">
      <c r="B31" s="1" t="s">
        <v>47</v>
      </c>
      <c r="C31" s="1">
        <f>SUM(C2:C29)</f>
        <v>580243</v>
      </c>
      <c r="D31" s="1" t="s">
        <v>48</v>
      </c>
      <c r="E31">
        <f>SUM(E2:E29)</f>
        <v>517495731</v>
      </c>
      <c r="F31" s="1" t="s">
        <v>49</v>
      </c>
    </row>
    <row r="32" spans="1:8" ht="15.5" x14ac:dyDescent="0.35">
      <c r="B32" s="1" t="s">
        <v>50</v>
      </c>
      <c r="C32" s="1">
        <v>28</v>
      </c>
      <c r="D32" s="1"/>
      <c r="E3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opLeftCell="A13" workbookViewId="0">
      <selection activeCell="C28" sqref="C28"/>
    </sheetView>
  </sheetViews>
  <sheetFormatPr defaultColWidth="13.4140625" defaultRowHeight="15" customHeight="1" x14ac:dyDescent="0.35"/>
  <sheetData>
    <row r="1" spans="1:5" ht="15.5" x14ac:dyDescent="0.35">
      <c r="B1" s="1" t="s">
        <v>0</v>
      </c>
    </row>
    <row r="2" spans="1:5" ht="15.5" x14ac:dyDescent="0.35">
      <c r="A2" s="3"/>
      <c r="B2" s="1" t="s">
        <v>7</v>
      </c>
      <c r="C2" s="1" t="s">
        <v>8</v>
      </c>
      <c r="D2" s="1" t="s">
        <v>16</v>
      </c>
      <c r="E2" s="6"/>
    </row>
    <row r="3" spans="1:5" ht="15" customHeight="1" x14ac:dyDescent="0.5">
      <c r="A3" s="5" t="s">
        <v>5</v>
      </c>
      <c r="B3">
        <f>72216+80075</f>
        <v>152291</v>
      </c>
      <c r="C3">
        <v>668172</v>
      </c>
      <c r="D3">
        <f>ROUNDUP(C3/$C$31*$H$31,0)</f>
        <v>39194</v>
      </c>
    </row>
    <row r="4" spans="1:5" ht="15" customHeight="1" x14ac:dyDescent="0.5">
      <c r="A4" s="5" t="s">
        <v>17</v>
      </c>
      <c r="B4">
        <f>35314+36009</f>
        <v>71323</v>
      </c>
      <c r="C4">
        <v>807963</v>
      </c>
      <c r="D4">
        <f>ROUNDUP(C4/$C$31*$H$31,0)</f>
        <v>47394</v>
      </c>
    </row>
    <row r="5" spans="1:5" ht="15" customHeight="1" x14ac:dyDescent="0.5">
      <c r="A5" s="4" t="s">
        <v>6</v>
      </c>
      <c r="B5">
        <f>16557+9499</f>
        <v>26056</v>
      </c>
      <c r="C5">
        <v>87919</v>
      </c>
      <c r="D5">
        <f>ROUNDUP(C5/$C$31*$H$31,0)</f>
        <v>5158</v>
      </c>
    </row>
    <row r="6" spans="1:5" ht="15" customHeight="1" x14ac:dyDescent="0.4">
      <c r="A6" s="7" t="s">
        <v>18</v>
      </c>
    </row>
    <row r="7" spans="1:5" ht="15" customHeight="1" x14ac:dyDescent="0.55000000000000004">
      <c r="A7" s="8" t="s">
        <v>19</v>
      </c>
      <c r="B7">
        <f>3644+659</f>
        <v>4303</v>
      </c>
      <c r="C7">
        <v>592867</v>
      </c>
      <c r="D7">
        <f>ROUNDUP(C7/$C$31*$H$31,0)</f>
        <v>34777</v>
      </c>
    </row>
    <row r="8" spans="1:5" ht="15" customHeight="1" x14ac:dyDescent="0.5">
      <c r="A8" s="5" t="s">
        <v>20</v>
      </c>
    </row>
    <row r="9" spans="1:5" ht="15" customHeight="1" x14ac:dyDescent="0.5">
      <c r="A9" s="5" t="s">
        <v>21</v>
      </c>
    </row>
    <row r="10" spans="1:5" ht="15" customHeight="1" x14ac:dyDescent="0.5">
      <c r="A10" s="5" t="s">
        <v>22</v>
      </c>
    </row>
    <row r="11" spans="1:5" ht="15" customHeight="1" x14ac:dyDescent="0.5">
      <c r="A11" s="5" t="s">
        <v>23</v>
      </c>
      <c r="B11">
        <f>273126+63057</f>
        <v>336183</v>
      </c>
      <c r="C11">
        <v>4570266</v>
      </c>
      <c r="D11">
        <f>ROUNDUP(C11/$C$31*$H$31,0)</f>
        <v>268085</v>
      </c>
    </row>
    <row r="12" spans="1:5" ht="15" customHeight="1" x14ac:dyDescent="0.5">
      <c r="A12" s="5" t="s">
        <v>24</v>
      </c>
      <c r="B12">
        <f>316115+420625</f>
        <v>736740</v>
      </c>
      <c r="C12">
        <v>6540406</v>
      </c>
      <c r="D12">
        <f>ROUNDUP(C12/$C$31*$H$31,0)</f>
        <v>383650</v>
      </c>
    </row>
    <row r="13" spans="1:5" ht="15" customHeight="1" x14ac:dyDescent="0.5">
      <c r="A13" s="5" t="s">
        <v>9</v>
      </c>
      <c r="B13">
        <f>30239+26141</f>
        <v>56380</v>
      </c>
      <c r="C13">
        <v>357834</v>
      </c>
      <c r="D13">
        <f>ROUNDUP(C13/$C$31*$H$31,0)</f>
        <v>20990</v>
      </c>
    </row>
    <row r="14" spans="1:5" ht="15" customHeight="1" x14ac:dyDescent="0.5">
      <c r="A14" s="5" t="s">
        <v>10</v>
      </c>
      <c r="B14">
        <f>4393+36693</f>
        <v>41086</v>
      </c>
      <c r="C14">
        <v>228323</v>
      </c>
      <c r="D14">
        <f>ROUNDUP(C14/$C$31*$H$31,0)</f>
        <v>13394</v>
      </c>
    </row>
    <row r="15" spans="1:5" ht="15" customHeight="1" x14ac:dyDescent="0.4">
      <c r="A15" s="7" t="s">
        <v>25</v>
      </c>
    </row>
    <row r="16" spans="1:5" ht="15" customHeight="1" x14ac:dyDescent="0.5">
      <c r="A16" s="5" t="s">
        <v>11</v>
      </c>
      <c r="B16">
        <f>118047+60156</f>
        <v>178203</v>
      </c>
      <c r="C16">
        <v>3729710</v>
      </c>
      <c r="D16">
        <f>ROUNDUP(C16/$C$31*$H$31,0)</f>
        <v>218779</v>
      </c>
    </row>
    <row r="17" spans="1:9" ht="15" customHeight="1" x14ac:dyDescent="0.4">
      <c r="A17" s="7" t="s">
        <v>28</v>
      </c>
    </row>
    <row r="18" spans="1:9" ht="15" customHeight="1" x14ac:dyDescent="0.5">
      <c r="A18" s="5" t="s">
        <v>12</v>
      </c>
    </row>
    <row r="19" spans="1:9" ht="15" customHeight="1" x14ac:dyDescent="0.4">
      <c r="A19" s="7" t="s">
        <v>31</v>
      </c>
    </row>
    <row r="20" spans="1:9" ht="15" customHeight="1" x14ac:dyDescent="0.5">
      <c r="A20" s="4" t="s">
        <v>34</v>
      </c>
      <c r="B20">
        <f>88536+28051</f>
        <v>116587</v>
      </c>
      <c r="C20">
        <v>1474841</v>
      </c>
      <c r="D20">
        <f>ROUNDUP(C20/$C$31*$H$31,0)</f>
        <v>86512</v>
      </c>
    </row>
    <row r="21" spans="1:9" ht="15" customHeight="1" x14ac:dyDescent="0.5">
      <c r="A21" s="5" t="s">
        <v>35</v>
      </c>
    </row>
    <row r="22" spans="1:9" ht="15" customHeight="1" x14ac:dyDescent="0.5">
      <c r="A22" s="4" t="s">
        <v>13</v>
      </c>
      <c r="B22">
        <f>14065+3303</f>
        <v>17368</v>
      </c>
      <c r="C22">
        <v>1840213</v>
      </c>
      <c r="D22">
        <f>ROUNDUP(C22/$C$31*$H$31,0)</f>
        <v>107944</v>
      </c>
    </row>
    <row r="23" spans="1:9" ht="15" customHeight="1" x14ac:dyDescent="0.5">
      <c r="A23" s="13" t="s">
        <v>37</v>
      </c>
    </row>
    <row r="24" spans="1:9" ht="21" x14ac:dyDescent="0.5">
      <c r="A24" s="13" t="s">
        <v>14</v>
      </c>
      <c r="B24">
        <f>2598+432</f>
        <v>3030</v>
      </c>
      <c r="C24">
        <v>750502</v>
      </c>
      <c r="D24">
        <f>ROUNDUP(C24/$C$31*$H$31,0)</f>
        <v>44024</v>
      </c>
    </row>
    <row r="25" spans="1:9" ht="21" x14ac:dyDescent="0.5">
      <c r="A25" s="13" t="s">
        <v>38</v>
      </c>
      <c r="H25" s="1" t="s">
        <v>39</v>
      </c>
      <c r="I25" s="1" t="s">
        <v>40</v>
      </c>
    </row>
    <row r="26" spans="1:9" ht="21" x14ac:dyDescent="0.5">
      <c r="A26" s="15" t="s">
        <v>41</v>
      </c>
      <c r="G26" s="5" t="s">
        <v>26</v>
      </c>
      <c r="H26">
        <f>153946</f>
        <v>153946</v>
      </c>
      <c r="I26">
        <v>12828</v>
      </c>
    </row>
    <row r="27" spans="1:9" ht="21" x14ac:dyDescent="0.5">
      <c r="A27" s="13" t="s">
        <v>15</v>
      </c>
      <c r="B27" s="1">
        <f>5798+11020</f>
        <v>16818</v>
      </c>
      <c r="C27">
        <v>2869338</v>
      </c>
      <c r="D27">
        <f>ROUNDUP(C27/$C$31*$H$31,0)</f>
        <v>168311</v>
      </c>
      <c r="G27" s="4" t="s">
        <v>27</v>
      </c>
      <c r="H27">
        <f>7164</f>
        <v>7164</v>
      </c>
      <c r="I27">
        <v>597</v>
      </c>
    </row>
    <row r="28" spans="1:9" ht="21" x14ac:dyDescent="0.5">
      <c r="A28" s="5" t="s">
        <v>42</v>
      </c>
      <c r="B28">
        <f>169520+157046</f>
        <v>326566</v>
      </c>
      <c r="C28">
        <v>843317</v>
      </c>
      <c r="D28">
        <f>ROUNDUP(C28/$C$31*$H$31,0)</f>
        <v>49468</v>
      </c>
      <c r="G28" s="18" t="s">
        <v>29</v>
      </c>
      <c r="H28">
        <f>764912</f>
        <v>764912</v>
      </c>
      <c r="I28">
        <v>63742</v>
      </c>
    </row>
    <row r="29" spans="1:9" ht="21" x14ac:dyDescent="0.5">
      <c r="A29" s="5" t="s">
        <v>43</v>
      </c>
      <c r="B29">
        <f>73336+32701</f>
        <v>106037</v>
      </c>
      <c r="C29">
        <v>988987</v>
      </c>
      <c r="D29">
        <f>ROUNDUP(C29/$C$31*$H$31,0)</f>
        <v>58013</v>
      </c>
      <c r="G29" s="5" t="s">
        <v>32</v>
      </c>
      <c r="H29">
        <f>885386</f>
        <v>885386</v>
      </c>
      <c r="I29">
        <v>73782</v>
      </c>
    </row>
    <row r="30" spans="1:9" ht="21" x14ac:dyDescent="0.5">
      <c r="A30" s="4" t="s">
        <v>44</v>
      </c>
      <c r="B30">
        <f>123067+45870</f>
        <v>168937</v>
      </c>
      <c r="C30">
        <v>4741683</v>
      </c>
      <c r="D30">
        <f>ROUNDUP(C30/$C$31*$H$31,0)</f>
        <v>278140</v>
      </c>
      <c r="G30" s="4" t="s">
        <v>45</v>
      </c>
      <c r="H30">
        <f>3273+6502+1809+279+446+110</f>
        <v>12419</v>
      </c>
      <c r="I30">
        <v>1034</v>
      </c>
    </row>
    <row r="31" spans="1:9" ht="15.5" x14ac:dyDescent="0.35">
      <c r="B31">
        <f t="shared" ref="B31:C31" si="0">SUM(B3:B30)</f>
        <v>2357908</v>
      </c>
      <c r="C31">
        <f t="shared" si="0"/>
        <v>31092341</v>
      </c>
      <c r="H31">
        <f>SUM(H26:H30)</f>
        <v>1823827</v>
      </c>
    </row>
    <row r="32" spans="1:9" ht="15.5" x14ac:dyDescent="0.35">
      <c r="B32" s="1"/>
      <c r="C32" s="1" t="s">
        <v>51</v>
      </c>
      <c r="H32" s="1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tabSelected="1" topLeftCell="C5" zoomScale="70" zoomScaleNormal="70" workbookViewId="0">
      <selection activeCell="P5" sqref="P1:P1048576"/>
    </sheetView>
  </sheetViews>
  <sheetFormatPr defaultColWidth="13.4140625" defaultRowHeight="15" customHeight="1" x14ac:dyDescent="0.35"/>
  <cols>
    <col min="5" max="16" width="15.83203125" bestFit="1" customWidth="1"/>
  </cols>
  <sheetData>
    <row r="1" spans="1:16" ht="15" customHeight="1" x14ac:dyDescent="0.35">
      <c r="B1" s="21"/>
      <c r="C1" s="29" t="s">
        <v>68</v>
      </c>
      <c r="D1" s="21">
        <v>0</v>
      </c>
      <c r="E1" s="21">
        <v>182512282</v>
      </c>
      <c r="F1" s="21">
        <v>355141302</v>
      </c>
      <c r="G1" s="21">
        <v>361545462</v>
      </c>
      <c r="H1" s="21">
        <v>361598916</v>
      </c>
      <c r="I1" s="21">
        <v>373599946</v>
      </c>
      <c r="J1" s="21">
        <v>394119614</v>
      </c>
      <c r="K1" s="21">
        <v>429441778</v>
      </c>
      <c r="L1" s="21">
        <v>457961112</v>
      </c>
      <c r="M1" s="21">
        <v>470505243</v>
      </c>
      <c r="N1" s="21">
        <v>521292614</v>
      </c>
      <c r="O1" s="21">
        <v>540120798</v>
      </c>
      <c r="P1" s="21">
        <v>599795798</v>
      </c>
    </row>
    <row r="2" spans="1:16" ht="15.5" x14ac:dyDescent="0.35">
      <c r="A2" s="19"/>
      <c r="B2" s="30" t="s">
        <v>16</v>
      </c>
      <c r="C2" s="30" t="s">
        <v>67</v>
      </c>
      <c r="D2" s="30" t="s">
        <v>53</v>
      </c>
      <c r="E2" s="29" t="s">
        <v>54</v>
      </c>
      <c r="F2" s="29" t="s">
        <v>55</v>
      </c>
      <c r="G2" s="29" t="s">
        <v>56</v>
      </c>
      <c r="H2" s="29" t="s">
        <v>57</v>
      </c>
      <c r="I2" s="29" t="s">
        <v>58</v>
      </c>
      <c r="J2" s="29" t="s">
        <v>59</v>
      </c>
      <c r="K2" s="29" t="s">
        <v>60</v>
      </c>
      <c r="L2" s="29" t="s">
        <v>61</v>
      </c>
      <c r="M2" s="29" t="s">
        <v>62</v>
      </c>
      <c r="N2" s="29" t="s">
        <v>63</v>
      </c>
      <c r="O2" s="29" t="s">
        <v>64</v>
      </c>
      <c r="P2" s="29" t="s">
        <v>65</v>
      </c>
    </row>
    <row r="3" spans="1:16" ht="15" customHeight="1" x14ac:dyDescent="0.35">
      <c r="B3" s="21">
        <v>39194</v>
      </c>
      <c r="C3" s="29" t="s">
        <v>5</v>
      </c>
      <c r="D3" s="22">
        <v>0</v>
      </c>
      <c r="E3" s="28">
        <v>39194</v>
      </c>
      <c r="F3" s="28">
        <v>39194</v>
      </c>
      <c r="G3" s="28">
        <v>39194</v>
      </c>
      <c r="H3" s="28">
        <v>39194</v>
      </c>
      <c r="I3" s="28">
        <v>39194</v>
      </c>
      <c r="J3" s="28">
        <v>39194</v>
      </c>
      <c r="K3" s="28">
        <v>39194</v>
      </c>
      <c r="L3" s="28">
        <v>39194</v>
      </c>
      <c r="M3" s="28">
        <v>39194</v>
      </c>
      <c r="N3" s="28">
        <v>39194</v>
      </c>
      <c r="O3" s="28">
        <v>39194</v>
      </c>
      <c r="P3" s="28">
        <v>39194</v>
      </c>
    </row>
    <row r="4" spans="1:16" ht="15.5" x14ac:dyDescent="0.35">
      <c r="B4" s="21">
        <v>47394</v>
      </c>
      <c r="C4" s="29" t="s">
        <v>17</v>
      </c>
      <c r="D4" s="22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47267</v>
      </c>
      <c r="L4" s="28">
        <v>47394</v>
      </c>
      <c r="M4" s="28">
        <v>47394</v>
      </c>
      <c r="N4" s="28">
        <v>47394</v>
      </c>
      <c r="O4" s="28">
        <v>47394</v>
      </c>
      <c r="P4" s="28">
        <v>47394</v>
      </c>
    </row>
    <row r="5" spans="1:16" ht="15.5" x14ac:dyDescent="0.35">
      <c r="B5" s="21">
        <v>5158</v>
      </c>
      <c r="C5" s="30" t="s">
        <v>6</v>
      </c>
      <c r="D5" s="22">
        <v>0</v>
      </c>
      <c r="E5" s="28">
        <v>5158</v>
      </c>
      <c r="F5" s="28">
        <v>5158</v>
      </c>
      <c r="G5" s="28">
        <v>5158</v>
      </c>
      <c r="H5" s="28">
        <v>5158</v>
      </c>
      <c r="I5" s="28">
        <v>5158</v>
      </c>
      <c r="J5" s="28">
        <v>5158</v>
      </c>
      <c r="K5" s="28">
        <v>5158</v>
      </c>
      <c r="L5" s="28">
        <v>5158</v>
      </c>
      <c r="M5" s="28">
        <v>5158</v>
      </c>
      <c r="N5" s="28">
        <v>5158</v>
      </c>
      <c r="O5" s="28">
        <v>5158</v>
      </c>
      <c r="P5" s="28">
        <v>5158</v>
      </c>
    </row>
    <row r="6" spans="1:16" ht="15.5" x14ac:dyDescent="0.35">
      <c r="B6" s="21">
        <v>34777</v>
      </c>
      <c r="C6" s="30" t="s">
        <v>19</v>
      </c>
      <c r="D6" s="22">
        <v>0</v>
      </c>
      <c r="E6" s="28">
        <v>14764</v>
      </c>
      <c r="F6" s="28">
        <v>34777</v>
      </c>
      <c r="G6" s="28">
        <v>34777</v>
      </c>
      <c r="H6" s="28">
        <v>34777</v>
      </c>
      <c r="I6" s="28">
        <v>34777</v>
      </c>
      <c r="J6" s="28">
        <v>34777</v>
      </c>
      <c r="K6" s="28">
        <v>34777</v>
      </c>
      <c r="L6" s="28">
        <v>34777</v>
      </c>
      <c r="M6" s="28">
        <v>34777</v>
      </c>
      <c r="N6" s="28">
        <v>34777</v>
      </c>
      <c r="O6" s="28">
        <v>34777</v>
      </c>
      <c r="P6" s="28">
        <v>34777</v>
      </c>
    </row>
    <row r="7" spans="1:16" ht="15.5" x14ac:dyDescent="0.35">
      <c r="B7" s="21">
        <v>268085</v>
      </c>
      <c r="C7" s="29" t="s">
        <v>23</v>
      </c>
      <c r="D7" s="22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150352</v>
      </c>
      <c r="M7" s="28">
        <v>268085</v>
      </c>
      <c r="N7" s="28">
        <v>268085</v>
      </c>
      <c r="O7" s="28">
        <v>268085</v>
      </c>
      <c r="P7" s="28">
        <v>268085</v>
      </c>
    </row>
    <row r="8" spans="1:16" ht="15.5" x14ac:dyDescent="0.35">
      <c r="B8" s="21">
        <v>383650</v>
      </c>
      <c r="C8" s="29" t="s">
        <v>24</v>
      </c>
      <c r="D8" s="22">
        <v>0</v>
      </c>
      <c r="E8" s="28">
        <v>0</v>
      </c>
      <c r="F8" s="28">
        <v>117511</v>
      </c>
      <c r="G8" s="28">
        <v>255035</v>
      </c>
      <c r="H8" s="28">
        <v>383650</v>
      </c>
      <c r="I8" s="28">
        <v>383650</v>
      </c>
      <c r="J8" s="28">
        <v>383650</v>
      </c>
      <c r="K8" s="28">
        <v>383650</v>
      </c>
      <c r="L8" s="28">
        <v>383650</v>
      </c>
      <c r="M8" s="28">
        <v>383650</v>
      </c>
      <c r="N8" s="28">
        <v>383650</v>
      </c>
      <c r="O8" s="28">
        <v>383650</v>
      </c>
      <c r="P8" s="28">
        <v>383650</v>
      </c>
    </row>
    <row r="9" spans="1:16" ht="15.5" x14ac:dyDescent="0.35">
      <c r="B9" s="21">
        <v>20990</v>
      </c>
      <c r="C9" s="29" t="s">
        <v>9</v>
      </c>
      <c r="D9" s="22">
        <v>0</v>
      </c>
      <c r="E9" s="28">
        <v>20990</v>
      </c>
      <c r="F9" s="28">
        <v>20990</v>
      </c>
      <c r="G9" s="28">
        <v>20990</v>
      </c>
      <c r="H9" s="28">
        <v>20990</v>
      </c>
      <c r="I9" s="28">
        <v>20990</v>
      </c>
      <c r="J9" s="28">
        <v>20990</v>
      </c>
      <c r="K9" s="28">
        <v>20990</v>
      </c>
      <c r="L9" s="28">
        <v>20990</v>
      </c>
      <c r="M9" s="28">
        <v>20990</v>
      </c>
      <c r="N9" s="28">
        <v>20990</v>
      </c>
      <c r="O9" s="28">
        <v>20990</v>
      </c>
      <c r="P9" s="28">
        <v>20990</v>
      </c>
    </row>
    <row r="10" spans="1:16" ht="15.5" x14ac:dyDescent="0.35">
      <c r="B10" s="21">
        <v>13394</v>
      </c>
      <c r="C10" s="29" t="s">
        <v>10</v>
      </c>
      <c r="D10" s="22">
        <v>0</v>
      </c>
      <c r="E10" s="28">
        <v>13394</v>
      </c>
      <c r="F10" s="28">
        <v>13394</v>
      </c>
      <c r="G10" s="28">
        <v>13394</v>
      </c>
      <c r="H10" s="28">
        <v>13394</v>
      </c>
      <c r="I10" s="28">
        <v>13394</v>
      </c>
      <c r="J10" s="28">
        <v>13394</v>
      </c>
      <c r="K10" s="28">
        <v>13394</v>
      </c>
      <c r="L10" s="28">
        <v>13394</v>
      </c>
      <c r="M10" s="28">
        <v>13394</v>
      </c>
      <c r="N10" s="28">
        <v>13394</v>
      </c>
      <c r="O10" s="28">
        <v>13394</v>
      </c>
      <c r="P10" s="28">
        <v>13394</v>
      </c>
    </row>
    <row r="11" spans="1:16" ht="15.5" x14ac:dyDescent="0.35">
      <c r="B11" s="21">
        <v>218779</v>
      </c>
      <c r="C11" s="29" t="s">
        <v>11</v>
      </c>
      <c r="D11" s="22">
        <v>0</v>
      </c>
      <c r="E11" s="28">
        <v>12828</v>
      </c>
      <c r="F11" s="28">
        <v>25656</v>
      </c>
      <c r="G11" s="28">
        <v>38484</v>
      </c>
      <c r="H11" s="28">
        <v>51312</v>
      </c>
      <c r="I11" s="28">
        <v>64140</v>
      </c>
      <c r="J11" s="28">
        <v>201172</v>
      </c>
      <c r="K11" s="28">
        <v>218779</v>
      </c>
      <c r="L11" s="28">
        <v>218779</v>
      </c>
      <c r="M11" s="28">
        <v>218779</v>
      </c>
      <c r="N11" s="28">
        <v>218779</v>
      </c>
      <c r="O11" s="28">
        <v>218779</v>
      </c>
      <c r="P11" s="28">
        <v>218779</v>
      </c>
    </row>
    <row r="12" spans="1:16" ht="15.5" x14ac:dyDescent="0.35">
      <c r="B12" s="21">
        <v>86512</v>
      </c>
      <c r="C12" s="30" t="s">
        <v>34</v>
      </c>
      <c r="D12" s="22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86512</v>
      </c>
      <c r="L12" s="28">
        <v>86512</v>
      </c>
      <c r="M12" s="28">
        <v>86512</v>
      </c>
      <c r="N12" s="28">
        <v>86512</v>
      </c>
      <c r="O12" s="28">
        <v>86512</v>
      </c>
      <c r="P12" s="28">
        <v>86512</v>
      </c>
    </row>
    <row r="13" spans="1:16" ht="15.5" x14ac:dyDescent="0.35">
      <c r="B13" s="21">
        <v>107944</v>
      </c>
      <c r="C13" s="30" t="s">
        <v>13</v>
      </c>
      <c r="D13" s="22">
        <v>0</v>
      </c>
      <c r="E13" s="28">
        <v>1034</v>
      </c>
      <c r="F13" s="28">
        <v>2068</v>
      </c>
      <c r="G13" s="28">
        <v>3102</v>
      </c>
      <c r="H13" s="28">
        <v>4136</v>
      </c>
      <c r="I13" s="28">
        <v>93590</v>
      </c>
      <c r="J13" s="28">
        <v>107944</v>
      </c>
      <c r="K13" s="28">
        <v>107944</v>
      </c>
      <c r="L13" s="28">
        <v>107944</v>
      </c>
      <c r="M13" s="28">
        <v>107944</v>
      </c>
      <c r="N13" s="28">
        <v>107944</v>
      </c>
      <c r="O13" s="28">
        <v>107944</v>
      </c>
      <c r="P13" s="28">
        <v>107944</v>
      </c>
    </row>
    <row r="14" spans="1:16" ht="15.5" x14ac:dyDescent="0.35">
      <c r="B14" s="21">
        <v>44024</v>
      </c>
      <c r="C14" s="29" t="s">
        <v>14</v>
      </c>
      <c r="D14" s="22">
        <v>0</v>
      </c>
      <c r="E14" s="28">
        <v>44024</v>
      </c>
      <c r="F14" s="28">
        <v>44024</v>
      </c>
      <c r="G14" s="28">
        <v>44024</v>
      </c>
      <c r="H14" s="28">
        <v>44024</v>
      </c>
      <c r="I14" s="28">
        <v>44024</v>
      </c>
      <c r="J14" s="28">
        <v>44024</v>
      </c>
      <c r="K14" s="28">
        <v>44024</v>
      </c>
      <c r="L14" s="28">
        <v>44024</v>
      </c>
      <c r="M14" s="28">
        <v>44024</v>
      </c>
      <c r="N14" s="28">
        <v>44024</v>
      </c>
      <c r="O14" s="28">
        <v>44024</v>
      </c>
      <c r="P14" s="28">
        <v>44024</v>
      </c>
    </row>
    <row r="15" spans="1:16" ht="15.5" x14ac:dyDescent="0.35">
      <c r="B15" s="21">
        <v>168311</v>
      </c>
      <c r="C15" s="29" t="s">
        <v>15</v>
      </c>
      <c r="D15" s="22">
        <v>0</v>
      </c>
      <c r="E15" s="28">
        <v>597</v>
      </c>
      <c r="F15" s="28">
        <v>1194</v>
      </c>
      <c r="G15" s="28">
        <v>1791</v>
      </c>
      <c r="H15" s="28">
        <v>2388</v>
      </c>
      <c r="I15" s="28">
        <v>2985</v>
      </c>
      <c r="J15" s="28">
        <v>3582</v>
      </c>
      <c r="K15" s="28">
        <v>4179</v>
      </c>
      <c r="L15" s="28">
        <v>4776</v>
      </c>
      <c r="M15" s="28">
        <v>5373</v>
      </c>
      <c r="N15" s="28">
        <v>5970</v>
      </c>
      <c r="O15" s="28">
        <v>19395</v>
      </c>
      <c r="P15" s="28">
        <v>168274</v>
      </c>
    </row>
    <row r="16" spans="1:16" ht="15.5" x14ac:dyDescent="0.35">
      <c r="B16" s="21">
        <v>49468</v>
      </c>
      <c r="C16" s="29" t="s">
        <v>42</v>
      </c>
      <c r="D16" s="22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46364</v>
      </c>
      <c r="P16" s="28">
        <v>49468</v>
      </c>
    </row>
    <row r="17" spans="1:16" ht="15.5" x14ac:dyDescent="0.35">
      <c r="B17" s="21">
        <v>58013</v>
      </c>
      <c r="C17" s="29" t="s">
        <v>43</v>
      </c>
      <c r="D17" s="22">
        <v>0</v>
      </c>
      <c r="E17" s="28">
        <v>0</v>
      </c>
      <c r="F17" s="28">
        <v>0</v>
      </c>
      <c r="G17" s="28">
        <v>0</v>
      </c>
      <c r="H17" s="28">
        <v>8909</v>
      </c>
      <c r="I17" s="28">
        <v>58013</v>
      </c>
      <c r="J17" s="28">
        <v>58013</v>
      </c>
      <c r="K17" s="28">
        <v>58013</v>
      </c>
      <c r="L17" s="28">
        <v>58013</v>
      </c>
      <c r="M17" s="28">
        <v>58013</v>
      </c>
      <c r="N17" s="28">
        <v>58013</v>
      </c>
      <c r="O17" s="28">
        <v>58013</v>
      </c>
      <c r="P17" s="28">
        <v>58013</v>
      </c>
    </row>
    <row r="18" spans="1:16" ht="15.5" x14ac:dyDescent="0.35">
      <c r="B18" s="21">
        <v>278140</v>
      </c>
      <c r="C18" s="30" t="s">
        <v>44</v>
      </c>
      <c r="D18" s="22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907</v>
      </c>
      <c r="M18" s="28">
        <v>34560</v>
      </c>
      <c r="N18" s="28">
        <v>185946</v>
      </c>
      <c r="O18" s="28">
        <v>278140</v>
      </c>
      <c r="P18" s="28">
        <v>278140</v>
      </c>
    </row>
    <row r="19" spans="1:16" ht="15.5" x14ac:dyDescent="0.35">
      <c r="B19" s="21"/>
      <c r="C19" s="29"/>
      <c r="D19" s="29" t="s">
        <v>66</v>
      </c>
      <c r="E19" s="29" t="s">
        <v>54</v>
      </c>
      <c r="F19" s="29" t="s">
        <v>55</v>
      </c>
      <c r="G19" s="29" t="s">
        <v>56</v>
      </c>
      <c r="H19" s="29" t="s">
        <v>57</v>
      </c>
      <c r="I19" s="29" t="s">
        <v>58</v>
      </c>
      <c r="J19" s="29" t="s">
        <v>59</v>
      </c>
      <c r="K19" s="29" t="s">
        <v>60</v>
      </c>
      <c r="L19" s="29" t="s">
        <v>61</v>
      </c>
      <c r="M19" s="29" t="s">
        <v>62</v>
      </c>
      <c r="N19" s="29" t="s">
        <v>63</v>
      </c>
      <c r="O19" s="29" t="s">
        <v>64</v>
      </c>
      <c r="P19" s="29" t="s">
        <v>65</v>
      </c>
    </row>
    <row r="20" spans="1:16" ht="15.5" x14ac:dyDescent="0.35">
      <c r="A20" s="19"/>
      <c r="B20" s="22"/>
      <c r="C20" s="29" t="s">
        <v>5</v>
      </c>
      <c r="D20" s="22">
        <f>ROUND(D3/$B3*100,2)</f>
        <v>0</v>
      </c>
      <c r="E20" s="22">
        <f t="shared" ref="E20:P20" si="0">ROUND(E3/$B3*100,2)</f>
        <v>100</v>
      </c>
      <c r="F20" s="22">
        <f t="shared" si="0"/>
        <v>100</v>
      </c>
      <c r="G20" s="22">
        <f t="shared" si="0"/>
        <v>100</v>
      </c>
      <c r="H20" s="22">
        <f t="shared" si="0"/>
        <v>100</v>
      </c>
      <c r="I20" s="22">
        <f t="shared" si="0"/>
        <v>100</v>
      </c>
      <c r="J20" s="22">
        <f t="shared" si="0"/>
        <v>100</v>
      </c>
      <c r="K20" s="22">
        <f t="shared" si="0"/>
        <v>100</v>
      </c>
      <c r="L20" s="22">
        <f t="shared" si="0"/>
        <v>100</v>
      </c>
      <c r="M20" s="22">
        <f t="shared" si="0"/>
        <v>100</v>
      </c>
      <c r="N20" s="22">
        <f t="shared" si="0"/>
        <v>100</v>
      </c>
      <c r="O20" s="22">
        <f t="shared" si="0"/>
        <v>100</v>
      </c>
      <c r="P20" s="22">
        <f t="shared" si="0"/>
        <v>100</v>
      </c>
    </row>
    <row r="21" spans="1:16" ht="15.5" x14ac:dyDescent="0.35">
      <c r="B21" s="21"/>
      <c r="C21" s="29" t="s">
        <v>17</v>
      </c>
      <c r="D21" s="22">
        <f t="shared" ref="D21:P21" si="1">ROUND(D4/$B4*100,2)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99.73</v>
      </c>
      <c r="L21" s="22">
        <f t="shared" si="1"/>
        <v>100</v>
      </c>
      <c r="M21" s="22">
        <f t="shared" si="1"/>
        <v>100</v>
      </c>
      <c r="N21" s="22">
        <f t="shared" si="1"/>
        <v>100</v>
      </c>
      <c r="O21" s="22">
        <f t="shared" si="1"/>
        <v>100</v>
      </c>
      <c r="P21" s="22">
        <f t="shared" si="1"/>
        <v>100</v>
      </c>
    </row>
    <row r="22" spans="1:16" ht="15.5" x14ac:dyDescent="0.35">
      <c r="B22" s="21"/>
      <c r="C22" s="30" t="s">
        <v>6</v>
      </c>
      <c r="D22" s="22">
        <f t="shared" ref="D22:P22" si="2">ROUND(D5/$B5*100,2)</f>
        <v>0</v>
      </c>
      <c r="E22" s="22">
        <f t="shared" si="2"/>
        <v>100</v>
      </c>
      <c r="F22" s="22">
        <f t="shared" si="2"/>
        <v>100</v>
      </c>
      <c r="G22" s="22">
        <f t="shared" si="2"/>
        <v>100</v>
      </c>
      <c r="H22" s="22">
        <f t="shared" si="2"/>
        <v>100</v>
      </c>
      <c r="I22" s="22">
        <f t="shared" si="2"/>
        <v>100</v>
      </c>
      <c r="J22" s="22">
        <f t="shared" si="2"/>
        <v>100</v>
      </c>
      <c r="K22" s="22">
        <f t="shared" si="2"/>
        <v>100</v>
      </c>
      <c r="L22" s="22">
        <f t="shared" si="2"/>
        <v>100</v>
      </c>
      <c r="M22" s="22">
        <f t="shared" si="2"/>
        <v>100</v>
      </c>
      <c r="N22" s="22">
        <f t="shared" si="2"/>
        <v>100</v>
      </c>
      <c r="O22" s="22">
        <f t="shared" si="2"/>
        <v>100</v>
      </c>
      <c r="P22" s="22">
        <f t="shared" si="2"/>
        <v>100</v>
      </c>
    </row>
    <row r="23" spans="1:16" ht="15.5" x14ac:dyDescent="0.35">
      <c r="B23" s="21"/>
      <c r="C23" s="30" t="s">
        <v>19</v>
      </c>
      <c r="D23" s="22">
        <f t="shared" ref="D23:P23" si="3">ROUND(D6/$B6*100,2)</f>
        <v>0</v>
      </c>
      <c r="E23" s="22">
        <f t="shared" si="3"/>
        <v>42.45</v>
      </c>
      <c r="F23" s="22">
        <f t="shared" si="3"/>
        <v>100</v>
      </c>
      <c r="G23" s="22">
        <f t="shared" si="3"/>
        <v>100</v>
      </c>
      <c r="H23" s="22">
        <f t="shared" si="3"/>
        <v>100</v>
      </c>
      <c r="I23" s="22">
        <f t="shared" si="3"/>
        <v>100</v>
      </c>
      <c r="J23" s="22">
        <f t="shared" si="3"/>
        <v>100</v>
      </c>
      <c r="K23" s="22">
        <f t="shared" si="3"/>
        <v>100</v>
      </c>
      <c r="L23" s="22">
        <f t="shared" si="3"/>
        <v>100</v>
      </c>
      <c r="M23" s="22">
        <f t="shared" si="3"/>
        <v>100</v>
      </c>
      <c r="N23" s="22">
        <f t="shared" si="3"/>
        <v>100</v>
      </c>
      <c r="O23" s="22">
        <f t="shared" si="3"/>
        <v>100</v>
      </c>
      <c r="P23" s="22">
        <f t="shared" si="3"/>
        <v>100</v>
      </c>
    </row>
    <row r="24" spans="1:16" ht="15.5" x14ac:dyDescent="0.35">
      <c r="A24" s="19"/>
      <c r="B24" s="22"/>
      <c r="C24" s="29" t="s">
        <v>23</v>
      </c>
      <c r="D24" s="22">
        <f t="shared" ref="D24:P24" si="4">ROUND(D7/$B7*100,2)</f>
        <v>0</v>
      </c>
      <c r="E24" s="22">
        <f t="shared" si="4"/>
        <v>0</v>
      </c>
      <c r="F24" s="22">
        <f t="shared" si="4"/>
        <v>0</v>
      </c>
      <c r="G24" s="22">
        <f t="shared" si="4"/>
        <v>0</v>
      </c>
      <c r="H24" s="22">
        <f t="shared" si="4"/>
        <v>0</v>
      </c>
      <c r="I24" s="22">
        <f t="shared" si="4"/>
        <v>0</v>
      </c>
      <c r="J24" s="22">
        <f t="shared" si="4"/>
        <v>0</v>
      </c>
      <c r="K24" s="22">
        <f t="shared" si="4"/>
        <v>0</v>
      </c>
      <c r="L24" s="22">
        <f t="shared" si="4"/>
        <v>56.08</v>
      </c>
      <c r="M24" s="22">
        <f t="shared" si="4"/>
        <v>100</v>
      </c>
      <c r="N24" s="22">
        <f t="shared" si="4"/>
        <v>100</v>
      </c>
      <c r="O24" s="22">
        <f t="shared" si="4"/>
        <v>100</v>
      </c>
      <c r="P24" s="22">
        <f t="shared" si="4"/>
        <v>100</v>
      </c>
    </row>
    <row r="25" spans="1:16" ht="15.5" x14ac:dyDescent="0.35">
      <c r="B25" s="21"/>
      <c r="C25" s="29" t="s">
        <v>24</v>
      </c>
      <c r="D25" s="22">
        <f t="shared" ref="D25:P25" si="5">ROUND(D8/$B8*100,2)</f>
        <v>0</v>
      </c>
      <c r="E25" s="22">
        <f t="shared" si="5"/>
        <v>0</v>
      </c>
      <c r="F25" s="22">
        <f t="shared" si="5"/>
        <v>30.63</v>
      </c>
      <c r="G25" s="22">
        <f t="shared" si="5"/>
        <v>66.48</v>
      </c>
      <c r="H25" s="22">
        <f t="shared" si="5"/>
        <v>100</v>
      </c>
      <c r="I25" s="22">
        <f t="shared" si="5"/>
        <v>100</v>
      </c>
      <c r="J25" s="22">
        <f t="shared" si="5"/>
        <v>100</v>
      </c>
      <c r="K25" s="22">
        <f t="shared" si="5"/>
        <v>100</v>
      </c>
      <c r="L25" s="22">
        <f t="shared" si="5"/>
        <v>100</v>
      </c>
      <c r="M25" s="22">
        <f t="shared" si="5"/>
        <v>100</v>
      </c>
      <c r="N25" s="22">
        <f t="shared" si="5"/>
        <v>100</v>
      </c>
      <c r="O25" s="22">
        <f t="shared" si="5"/>
        <v>100</v>
      </c>
      <c r="P25" s="22">
        <f t="shared" si="5"/>
        <v>100</v>
      </c>
    </row>
    <row r="26" spans="1:16" ht="15.5" x14ac:dyDescent="0.35">
      <c r="B26" s="21"/>
      <c r="C26" s="29" t="s">
        <v>9</v>
      </c>
      <c r="D26" s="22">
        <f t="shared" ref="D26:P26" si="6">ROUND(D9/$B9*100,2)</f>
        <v>0</v>
      </c>
      <c r="E26" s="22">
        <f t="shared" si="6"/>
        <v>100</v>
      </c>
      <c r="F26" s="22">
        <f t="shared" si="6"/>
        <v>100</v>
      </c>
      <c r="G26" s="22">
        <f t="shared" si="6"/>
        <v>100</v>
      </c>
      <c r="H26" s="22">
        <f t="shared" si="6"/>
        <v>100</v>
      </c>
      <c r="I26" s="22">
        <f t="shared" si="6"/>
        <v>100</v>
      </c>
      <c r="J26" s="22">
        <f t="shared" si="6"/>
        <v>100</v>
      </c>
      <c r="K26" s="22">
        <f t="shared" si="6"/>
        <v>100</v>
      </c>
      <c r="L26" s="22">
        <f t="shared" si="6"/>
        <v>100</v>
      </c>
      <c r="M26" s="22">
        <f t="shared" si="6"/>
        <v>100</v>
      </c>
      <c r="N26" s="22">
        <f t="shared" si="6"/>
        <v>100</v>
      </c>
      <c r="O26" s="22">
        <f t="shared" si="6"/>
        <v>100</v>
      </c>
      <c r="P26" s="22">
        <f t="shared" si="6"/>
        <v>100</v>
      </c>
    </row>
    <row r="27" spans="1:16" ht="15.5" x14ac:dyDescent="0.35">
      <c r="A27" s="19"/>
      <c r="B27" s="22"/>
      <c r="C27" s="29" t="s">
        <v>10</v>
      </c>
      <c r="D27" s="22">
        <f t="shared" ref="D27:P27" si="7">ROUND(D10/$B10*100,2)</f>
        <v>0</v>
      </c>
      <c r="E27" s="22">
        <f t="shared" si="7"/>
        <v>100</v>
      </c>
      <c r="F27" s="22">
        <f t="shared" si="7"/>
        <v>100</v>
      </c>
      <c r="G27" s="22">
        <f t="shared" si="7"/>
        <v>100</v>
      </c>
      <c r="H27" s="22">
        <f t="shared" si="7"/>
        <v>100</v>
      </c>
      <c r="I27" s="22">
        <f t="shared" si="7"/>
        <v>100</v>
      </c>
      <c r="J27" s="22">
        <f t="shared" si="7"/>
        <v>100</v>
      </c>
      <c r="K27" s="22">
        <f t="shared" si="7"/>
        <v>100</v>
      </c>
      <c r="L27" s="22">
        <f t="shared" si="7"/>
        <v>100</v>
      </c>
      <c r="M27" s="22">
        <f t="shared" si="7"/>
        <v>100</v>
      </c>
      <c r="N27" s="22">
        <f t="shared" si="7"/>
        <v>100</v>
      </c>
      <c r="O27" s="22">
        <f t="shared" si="7"/>
        <v>100</v>
      </c>
      <c r="P27" s="22">
        <f t="shared" si="7"/>
        <v>100</v>
      </c>
    </row>
    <row r="28" spans="1:16" ht="15.5" x14ac:dyDescent="0.35">
      <c r="A28" s="19"/>
      <c r="B28" s="22"/>
      <c r="C28" s="29" t="s">
        <v>11</v>
      </c>
      <c r="D28" s="22">
        <f t="shared" ref="D28:P28" si="8">ROUND(D11/$B11*100,2)</f>
        <v>0</v>
      </c>
      <c r="E28" s="22">
        <f t="shared" si="8"/>
        <v>5.86</v>
      </c>
      <c r="F28" s="22">
        <f t="shared" si="8"/>
        <v>11.73</v>
      </c>
      <c r="G28" s="22">
        <f t="shared" si="8"/>
        <v>17.59</v>
      </c>
      <c r="H28" s="22">
        <f t="shared" si="8"/>
        <v>23.45</v>
      </c>
      <c r="I28" s="22">
        <f t="shared" si="8"/>
        <v>29.32</v>
      </c>
      <c r="J28" s="22">
        <f t="shared" si="8"/>
        <v>91.95</v>
      </c>
      <c r="K28" s="22">
        <f t="shared" si="8"/>
        <v>100</v>
      </c>
      <c r="L28" s="22">
        <f t="shared" si="8"/>
        <v>100</v>
      </c>
      <c r="M28" s="22">
        <f t="shared" si="8"/>
        <v>100</v>
      </c>
      <c r="N28" s="22">
        <f t="shared" si="8"/>
        <v>100</v>
      </c>
      <c r="O28" s="22">
        <f t="shared" si="8"/>
        <v>100</v>
      </c>
      <c r="P28" s="22">
        <f t="shared" si="8"/>
        <v>100</v>
      </c>
    </row>
    <row r="29" spans="1:16" ht="15.5" x14ac:dyDescent="0.35">
      <c r="A29" s="19"/>
      <c r="B29" s="22"/>
      <c r="C29" s="30" t="s">
        <v>34</v>
      </c>
      <c r="D29" s="22">
        <f t="shared" ref="D29:P29" si="9">ROUND(D12/$B12*100,2)</f>
        <v>0</v>
      </c>
      <c r="E29" s="22">
        <f t="shared" si="9"/>
        <v>0</v>
      </c>
      <c r="F29" s="22">
        <f t="shared" si="9"/>
        <v>0</v>
      </c>
      <c r="G29" s="22">
        <f t="shared" si="9"/>
        <v>0</v>
      </c>
      <c r="H29" s="22">
        <f t="shared" si="9"/>
        <v>0</v>
      </c>
      <c r="I29" s="22">
        <f t="shared" si="9"/>
        <v>0</v>
      </c>
      <c r="J29" s="22">
        <f t="shared" si="9"/>
        <v>0</v>
      </c>
      <c r="K29" s="22">
        <f t="shared" si="9"/>
        <v>100</v>
      </c>
      <c r="L29" s="22">
        <f t="shared" si="9"/>
        <v>100</v>
      </c>
      <c r="M29" s="22">
        <f t="shared" si="9"/>
        <v>100</v>
      </c>
      <c r="N29" s="22">
        <f t="shared" si="9"/>
        <v>100</v>
      </c>
      <c r="O29" s="22">
        <f t="shared" si="9"/>
        <v>100</v>
      </c>
      <c r="P29" s="22">
        <f t="shared" si="9"/>
        <v>100</v>
      </c>
    </row>
    <row r="30" spans="1:16" ht="15.5" x14ac:dyDescent="0.35">
      <c r="B30" s="21"/>
      <c r="C30" s="30" t="s">
        <v>13</v>
      </c>
      <c r="D30" s="22">
        <f t="shared" ref="D30:P30" si="10">ROUND(D13/$B13*100,2)</f>
        <v>0</v>
      </c>
      <c r="E30" s="22">
        <f t="shared" si="10"/>
        <v>0.96</v>
      </c>
      <c r="F30" s="22">
        <f t="shared" si="10"/>
        <v>1.92</v>
      </c>
      <c r="G30" s="22">
        <f t="shared" si="10"/>
        <v>2.87</v>
      </c>
      <c r="H30" s="22">
        <f t="shared" si="10"/>
        <v>3.83</v>
      </c>
      <c r="I30" s="22">
        <f t="shared" si="10"/>
        <v>86.7</v>
      </c>
      <c r="J30" s="22">
        <f t="shared" si="10"/>
        <v>100</v>
      </c>
      <c r="K30" s="22">
        <f t="shared" si="10"/>
        <v>100</v>
      </c>
      <c r="L30" s="22">
        <f t="shared" si="10"/>
        <v>100</v>
      </c>
      <c r="M30" s="22">
        <f t="shared" si="10"/>
        <v>100</v>
      </c>
      <c r="N30" s="22">
        <f t="shared" si="10"/>
        <v>100</v>
      </c>
      <c r="O30" s="22">
        <f t="shared" si="10"/>
        <v>100</v>
      </c>
      <c r="P30" s="22">
        <f t="shared" si="10"/>
        <v>100</v>
      </c>
    </row>
    <row r="31" spans="1:16" ht="15" customHeight="1" x14ac:dyDescent="0.35">
      <c r="B31" s="21"/>
      <c r="C31" s="29" t="s">
        <v>14</v>
      </c>
      <c r="D31" s="22">
        <f t="shared" ref="D31:P31" si="11">ROUND(D14/$B14*100,2)</f>
        <v>0</v>
      </c>
      <c r="E31" s="22">
        <f t="shared" si="11"/>
        <v>100</v>
      </c>
      <c r="F31" s="22">
        <f t="shared" si="11"/>
        <v>100</v>
      </c>
      <c r="G31" s="22">
        <f t="shared" si="11"/>
        <v>100</v>
      </c>
      <c r="H31" s="22">
        <f t="shared" si="11"/>
        <v>100</v>
      </c>
      <c r="I31" s="22">
        <f t="shared" si="11"/>
        <v>100</v>
      </c>
      <c r="J31" s="22">
        <f t="shared" si="11"/>
        <v>100</v>
      </c>
      <c r="K31" s="22">
        <f t="shared" si="11"/>
        <v>100</v>
      </c>
      <c r="L31" s="22">
        <f t="shared" si="11"/>
        <v>100</v>
      </c>
      <c r="M31" s="22">
        <f t="shared" si="11"/>
        <v>100</v>
      </c>
      <c r="N31" s="22">
        <f t="shared" si="11"/>
        <v>100</v>
      </c>
      <c r="O31" s="22">
        <f t="shared" si="11"/>
        <v>100</v>
      </c>
      <c r="P31" s="22">
        <f t="shared" si="11"/>
        <v>100</v>
      </c>
    </row>
    <row r="32" spans="1:16" ht="15" customHeight="1" x14ac:dyDescent="0.35">
      <c r="B32" s="21"/>
      <c r="C32" s="29" t="s">
        <v>15</v>
      </c>
      <c r="D32" s="22">
        <f t="shared" ref="D32:O32" si="12">ROUND(D15/$B15*100,2)</f>
        <v>0</v>
      </c>
      <c r="E32" s="22">
        <f t="shared" si="12"/>
        <v>0.35</v>
      </c>
      <c r="F32" s="22">
        <f t="shared" si="12"/>
        <v>0.71</v>
      </c>
      <c r="G32" s="22">
        <f t="shared" si="12"/>
        <v>1.06</v>
      </c>
      <c r="H32" s="22">
        <f t="shared" si="12"/>
        <v>1.42</v>
      </c>
      <c r="I32" s="22">
        <f t="shared" si="12"/>
        <v>1.77</v>
      </c>
      <c r="J32" s="22">
        <f t="shared" si="12"/>
        <v>2.13</v>
      </c>
      <c r="K32" s="22">
        <f t="shared" si="12"/>
        <v>2.48</v>
      </c>
      <c r="L32" s="22">
        <f t="shared" si="12"/>
        <v>2.84</v>
      </c>
      <c r="M32" s="22">
        <f t="shared" si="12"/>
        <v>3.19</v>
      </c>
      <c r="N32" s="22">
        <f t="shared" si="12"/>
        <v>3.55</v>
      </c>
      <c r="O32" s="22">
        <f t="shared" si="12"/>
        <v>11.52</v>
      </c>
      <c r="P32" s="22">
        <v>100</v>
      </c>
    </row>
    <row r="33" spans="2:16" ht="15" customHeight="1" x14ac:dyDescent="0.35">
      <c r="B33" s="21"/>
      <c r="C33" s="29" t="s">
        <v>42</v>
      </c>
      <c r="D33" s="22">
        <f t="shared" ref="D33:P33" si="13">ROUND(D16/$B16*100,2)</f>
        <v>0</v>
      </c>
      <c r="E33" s="22">
        <f t="shared" si="13"/>
        <v>0</v>
      </c>
      <c r="F33" s="22">
        <f t="shared" si="13"/>
        <v>0</v>
      </c>
      <c r="G33" s="22">
        <f t="shared" si="13"/>
        <v>0</v>
      </c>
      <c r="H33" s="22">
        <f t="shared" si="13"/>
        <v>0</v>
      </c>
      <c r="I33" s="22">
        <f t="shared" si="13"/>
        <v>0</v>
      </c>
      <c r="J33" s="22">
        <f t="shared" si="13"/>
        <v>0</v>
      </c>
      <c r="K33" s="22">
        <f t="shared" si="13"/>
        <v>0</v>
      </c>
      <c r="L33" s="22">
        <f t="shared" si="13"/>
        <v>0</v>
      </c>
      <c r="M33" s="22">
        <f t="shared" si="13"/>
        <v>0</v>
      </c>
      <c r="N33" s="22">
        <f t="shared" si="13"/>
        <v>0</v>
      </c>
      <c r="O33" s="22">
        <f t="shared" si="13"/>
        <v>93.73</v>
      </c>
      <c r="P33" s="22">
        <f t="shared" si="13"/>
        <v>100</v>
      </c>
    </row>
    <row r="34" spans="2:16" ht="15" customHeight="1" x14ac:dyDescent="0.35">
      <c r="B34" s="21"/>
      <c r="C34" s="29" t="s">
        <v>43</v>
      </c>
      <c r="D34" s="22">
        <f t="shared" ref="D34:P34" si="14">ROUND(D17/$B17*100,2)</f>
        <v>0</v>
      </c>
      <c r="E34" s="22">
        <f t="shared" si="14"/>
        <v>0</v>
      </c>
      <c r="F34" s="22">
        <f t="shared" si="14"/>
        <v>0</v>
      </c>
      <c r="G34" s="22">
        <f t="shared" si="14"/>
        <v>0</v>
      </c>
      <c r="H34" s="22">
        <f t="shared" si="14"/>
        <v>15.36</v>
      </c>
      <c r="I34" s="22">
        <f t="shared" si="14"/>
        <v>100</v>
      </c>
      <c r="J34" s="22">
        <f t="shared" si="14"/>
        <v>100</v>
      </c>
      <c r="K34" s="22">
        <f t="shared" si="14"/>
        <v>100</v>
      </c>
      <c r="L34" s="22">
        <f t="shared" si="14"/>
        <v>100</v>
      </c>
      <c r="M34" s="22">
        <f t="shared" si="14"/>
        <v>100</v>
      </c>
      <c r="N34" s="22">
        <f t="shared" si="14"/>
        <v>100</v>
      </c>
      <c r="O34" s="22">
        <f t="shared" si="14"/>
        <v>100</v>
      </c>
      <c r="P34" s="22">
        <f t="shared" si="14"/>
        <v>100</v>
      </c>
    </row>
    <row r="35" spans="2:16" ht="15" customHeight="1" x14ac:dyDescent="0.35">
      <c r="B35" s="21"/>
      <c r="C35" s="30" t="s">
        <v>44</v>
      </c>
      <c r="D35" s="22">
        <f t="shared" ref="D35:P35" si="15">ROUND(D18/$B18*100,2)</f>
        <v>0</v>
      </c>
      <c r="E35" s="22">
        <f t="shared" si="15"/>
        <v>0</v>
      </c>
      <c r="F35" s="22">
        <f t="shared" si="15"/>
        <v>0</v>
      </c>
      <c r="G35" s="22">
        <f t="shared" si="15"/>
        <v>0</v>
      </c>
      <c r="H35" s="22">
        <f t="shared" si="15"/>
        <v>0</v>
      </c>
      <c r="I35" s="22">
        <f t="shared" si="15"/>
        <v>0</v>
      </c>
      <c r="J35" s="22">
        <f t="shared" si="15"/>
        <v>0</v>
      </c>
      <c r="K35" s="22">
        <f t="shared" si="15"/>
        <v>0</v>
      </c>
      <c r="L35" s="22">
        <f t="shared" si="15"/>
        <v>0.33</v>
      </c>
      <c r="M35" s="22">
        <f t="shared" si="15"/>
        <v>12.43</v>
      </c>
      <c r="N35" s="22">
        <f t="shared" si="15"/>
        <v>66.849999999999994</v>
      </c>
      <c r="O35" s="22">
        <f t="shared" si="15"/>
        <v>100</v>
      </c>
      <c r="P35" s="22">
        <f t="shared" si="15"/>
        <v>100</v>
      </c>
    </row>
  </sheetData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277"/>
  <sheetViews>
    <sheetView topLeftCell="B6" zoomScale="48" zoomScaleNormal="48" zoomScaleSheetLayoutView="50" workbookViewId="0">
      <selection activeCell="C11" sqref="C11"/>
    </sheetView>
  </sheetViews>
  <sheetFormatPr defaultRowHeight="15.5" x14ac:dyDescent="0.35"/>
  <sheetData>
    <row r="2" spans="1:23" x14ac:dyDescent="0.3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23" x14ac:dyDescent="0.35">
      <c r="A3" s="27"/>
      <c r="B3" s="26">
        <v>1</v>
      </c>
      <c r="C3" s="26" t="s">
        <v>5</v>
      </c>
      <c r="D3" s="26" t="s">
        <v>17</v>
      </c>
      <c r="E3" s="26" t="s">
        <v>6</v>
      </c>
      <c r="F3" s="26" t="s">
        <v>19</v>
      </c>
      <c r="G3" s="26" t="s">
        <v>23</v>
      </c>
      <c r="H3" s="26" t="s">
        <v>24</v>
      </c>
      <c r="I3" s="26" t="s">
        <v>9</v>
      </c>
      <c r="J3" s="26" t="s">
        <v>10</v>
      </c>
      <c r="K3" s="26" t="s">
        <v>11</v>
      </c>
      <c r="L3" s="26" t="s">
        <v>34</v>
      </c>
      <c r="M3" s="26" t="s">
        <v>13</v>
      </c>
      <c r="N3" s="26" t="s">
        <v>14</v>
      </c>
      <c r="O3" s="26" t="s">
        <v>15</v>
      </c>
      <c r="P3" s="26" t="s">
        <v>42</v>
      </c>
      <c r="Q3" s="26" t="s">
        <v>43</v>
      </c>
      <c r="R3" s="26" t="s">
        <v>44</v>
      </c>
      <c r="S3" s="14" t="s">
        <v>26</v>
      </c>
      <c r="T3" s="14" t="s">
        <v>27</v>
      </c>
      <c r="U3" s="14" t="s">
        <v>29</v>
      </c>
      <c r="V3" s="14" t="s">
        <v>32</v>
      </c>
      <c r="W3" s="14" t="s">
        <v>45</v>
      </c>
    </row>
    <row r="4" spans="1:23" x14ac:dyDescent="0.35">
      <c r="A4" s="27"/>
      <c r="B4" s="26" t="s">
        <v>5</v>
      </c>
      <c r="C4" s="23"/>
      <c r="D4" s="23"/>
      <c r="E4" s="23"/>
      <c r="F4" s="24"/>
      <c r="G4" s="23"/>
      <c r="H4" s="24"/>
      <c r="I4" s="23"/>
      <c r="J4" s="24"/>
      <c r="K4" s="24"/>
      <c r="L4" s="23"/>
      <c r="M4" s="23"/>
      <c r="N4" s="23"/>
      <c r="O4" s="23"/>
      <c r="P4" s="23"/>
      <c r="Q4" s="24"/>
      <c r="R4" s="23"/>
      <c r="S4" s="16"/>
      <c r="T4" s="16"/>
      <c r="U4" s="16"/>
      <c r="V4" s="16"/>
      <c r="W4" s="16"/>
    </row>
    <row r="5" spans="1:23" x14ac:dyDescent="0.35">
      <c r="A5" s="27"/>
      <c r="B5" s="26" t="s">
        <v>17</v>
      </c>
      <c r="C5" s="23"/>
      <c r="D5" s="23"/>
      <c r="E5" s="23"/>
      <c r="F5" s="23"/>
      <c r="G5" s="24"/>
      <c r="H5" s="24"/>
      <c r="I5" s="23"/>
      <c r="J5" s="23"/>
      <c r="K5" s="23"/>
      <c r="L5" s="24"/>
      <c r="M5" s="23"/>
      <c r="N5" s="23"/>
      <c r="O5" s="23"/>
      <c r="P5" s="23"/>
      <c r="Q5" s="23"/>
      <c r="R5" s="24"/>
      <c r="S5" s="16"/>
      <c r="T5" s="16"/>
      <c r="U5" s="16"/>
      <c r="V5" s="16"/>
      <c r="W5" s="16"/>
    </row>
    <row r="6" spans="1:23" x14ac:dyDescent="0.35">
      <c r="A6" s="27"/>
      <c r="B6" s="26" t="s">
        <v>6</v>
      </c>
      <c r="C6" s="23"/>
      <c r="D6" s="23"/>
      <c r="E6" s="23"/>
      <c r="F6" s="23"/>
      <c r="G6" s="23"/>
      <c r="H6" s="23"/>
      <c r="I6" s="24"/>
      <c r="J6" s="23"/>
      <c r="K6" s="23"/>
      <c r="L6" s="23"/>
      <c r="M6" s="23"/>
      <c r="N6" s="24"/>
      <c r="O6" s="23"/>
      <c r="P6" s="23"/>
      <c r="Q6" s="23"/>
      <c r="R6" s="23"/>
      <c r="S6" s="14"/>
      <c r="T6" s="14"/>
      <c r="U6" s="14"/>
      <c r="V6" s="14"/>
      <c r="W6" s="14"/>
    </row>
    <row r="7" spans="1:23" x14ac:dyDescent="0.35">
      <c r="A7" s="27"/>
      <c r="B7" s="26" t="s">
        <v>19</v>
      </c>
      <c r="C7" s="24"/>
      <c r="D7" s="23"/>
      <c r="E7" s="23"/>
      <c r="F7" s="23"/>
      <c r="G7" s="23"/>
      <c r="H7" s="24"/>
      <c r="I7" s="23"/>
      <c r="J7" s="23"/>
      <c r="K7" s="23"/>
      <c r="L7" s="23"/>
      <c r="M7" s="24"/>
      <c r="N7" s="23"/>
      <c r="O7" s="23"/>
      <c r="P7" s="23"/>
      <c r="Q7" s="23"/>
      <c r="R7" s="23"/>
      <c r="S7" s="16"/>
      <c r="T7" s="16"/>
      <c r="U7" s="16"/>
      <c r="V7" s="16"/>
      <c r="W7" s="16"/>
    </row>
    <row r="8" spans="1:23" x14ac:dyDescent="0.35">
      <c r="A8" s="27"/>
      <c r="B8" s="26" t="s">
        <v>23</v>
      </c>
      <c r="C8" s="23"/>
      <c r="D8" s="24"/>
      <c r="E8" s="23"/>
      <c r="F8" s="23"/>
      <c r="G8" s="23"/>
      <c r="H8" s="23"/>
      <c r="I8" s="23"/>
      <c r="J8" s="23"/>
      <c r="K8" s="23"/>
      <c r="L8" s="23"/>
      <c r="M8" s="23"/>
      <c r="N8" s="23"/>
      <c r="O8" s="24"/>
      <c r="P8" s="23"/>
      <c r="Q8" s="24"/>
      <c r="R8" s="24"/>
      <c r="S8" s="16"/>
      <c r="T8" s="16"/>
      <c r="U8" s="16"/>
      <c r="V8" s="16"/>
      <c r="W8" s="16"/>
    </row>
    <row r="9" spans="1:23" x14ac:dyDescent="0.35">
      <c r="A9" s="27"/>
      <c r="B9" s="26" t="s">
        <v>24</v>
      </c>
      <c r="C9" s="24"/>
      <c r="D9" s="24"/>
      <c r="E9" s="23"/>
      <c r="F9" s="24"/>
      <c r="G9" s="23"/>
      <c r="H9" s="23"/>
      <c r="I9" s="23"/>
      <c r="J9" s="23"/>
      <c r="K9" s="23"/>
      <c r="L9" s="24"/>
      <c r="M9" s="24"/>
      <c r="N9" s="23"/>
      <c r="O9" s="23"/>
      <c r="P9" s="25"/>
      <c r="Q9" s="24"/>
      <c r="R9" s="23"/>
      <c r="S9" s="16"/>
      <c r="T9" s="16"/>
      <c r="U9" s="16"/>
      <c r="V9" s="16"/>
      <c r="W9" s="16"/>
    </row>
    <row r="10" spans="1:23" x14ac:dyDescent="0.35">
      <c r="A10" s="27"/>
      <c r="B10" s="26" t="s">
        <v>9</v>
      </c>
      <c r="C10" s="23"/>
      <c r="D10" s="23"/>
      <c r="E10" s="24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4"/>
      <c r="T10" s="14"/>
      <c r="U10" s="14"/>
      <c r="V10" s="14"/>
      <c r="W10" s="14"/>
    </row>
    <row r="11" spans="1:23" x14ac:dyDescent="0.35">
      <c r="A11" s="27"/>
      <c r="B11" s="26" t="s">
        <v>10</v>
      </c>
      <c r="C11" s="24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3"/>
      <c r="P11" s="23"/>
      <c r="Q11" s="23"/>
      <c r="R11" s="23"/>
      <c r="S11" s="14"/>
      <c r="T11" s="14"/>
      <c r="U11" s="14"/>
      <c r="V11" s="14"/>
      <c r="W11" s="14"/>
    </row>
    <row r="12" spans="1:23" x14ac:dyDescent="0.35">
      <c r="A12" s="27"/>
      <c r="B12" s="26" t="s">
        <v>11</v>
      </c>
      <c r="C12" s="24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23"/>
      <c r="S12" s="14"/>
      <c r="T12" s="14"/>
      <c r="U12" s="14"/>
      <c r="V12" s="14"/>
      <c r="W12" s="14"/>
    </row>
    <row r="13" spans="1:23" x14ac:dyDescent="0.35">
      <c r="A13" s="27"/>
      <c r="B13" s="26" t="s">
        <v>34</v>
      </c>
      <c r="C13" s="23"/>
      <c r="D13" s="24"/>
      <c r="E13" s="23"/>
      <c r="F13" s="23"/>
      <c r="G13" s="23"/>
      <c r="H13" s="24"/>
      <c r="I13" s="23"/>
      <c r="J13" s="23"/>
      <c r="K13" s="23"/>
      <c r="L13" s="23"/>
      <c r="M13" s="23"/>
      <c r="N13" s="23"/>
      <c r="O13" s="23"/>
      <c r="P13" s="23"/>
      <c r="Q13" s="23"/>
      <c r="R13" s="24"/>
      <c r="S13" s="16"/>
      <c r="T13" s="16"/>
      <c r="U13" s="16"/>
      <c r="V13" s="16"/>
      <c r="W13" s="16"/>
    </row>
    <row r="14" spans="1:23" x14ac:dyDescent="0.35">
      <c r="A14" s="27"/>
      <c r="B14" s="26" t="s">
        <v>13</v>
      </c>
      <c r="C14" s="23"/>
      <c r="D14" s="23"/>
      <c r="E14" s="23"/>
      <c r="F14" s="24"/>
      <c r="G14" s="23"/>
      <c r="H14" s="24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14"/>
      <c r="T14" s="14"/>
      <c r="U14" s="14"/>
      <c r="V14" s="14"/>
      <c r="W14" s="14"/>
    </row>
    <row r="15" spans="1:23" x14ac:dyDescent="0.35">
      <c r="A15" s="27"/>
      <c r="B15" s="26" t="s">
        <v>14</v>
      </c>
      <c r="C15" s="23"/>
      <c r="D15" s="23"/>
      <c r="E15" s="24"/>
      <c r="F15" s="23"/>
      <c r="G15" s="23"/>
      <c r="H15" s="23"/>
      <c r="I15" s="23"/>
      <c r="J15" s="24"/>
      <c r="K15" s="23"/>
      <c r="L15" s="23"/>
      <c r="M15" s="23"/>
      <c r="N15" s="23"/>
      <c r="O15" s="23"/>
      <c r="P15" s="23"/>
      <c r="Q15" s="23"/>
      <c r="R15" s="23"/>
      <c r="S15" s="14"/>
      <c r="T15" s="14"/>
      <c r="U15" s="14"/>
      <c r="V15" s="14"/>
      <c r="W15" s="14"/>
    </row>
    <row r="16" spans="1:23" x14ac:dyDescent="0.35">
      <c r="A16" s="27"/>
      <c r="B16" s="26" t="s">
        <v>15</v>
      </c>
      <c r="C16" s="23"/>
      <c r="D16" s="23"/>
      <c r="E16" s="23"/>
      <c r="F16" s="23"/>
      <c r="G16" s="24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14"/>
      <c r="T16" s="14"/>
      <c r="U16" s="14"/>
      <c r="V16" s="14"/>
      <c r="W16" s="14"/>
    </row>
    <row r="17" spans="1:23" x14ac:dyDescent="0.35">
      <c r="A17" s="27"/>
      <c r="B17" s="26" t="s">
        <v>42</v>
      </c>
      <c r="C17" s="23"/>
      <c r="D17" s="23"/>
      <c r="E17" s="23"/>
      <c r="F17" s="23"/>
      <c r="G17" s="23"/>
      <c r="H17" s="25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16"/>
      <c r="T17" s="16"/>
      <c r="U17" s="16"/>
      <c r="V17" s="16"/>
      <c r="W17" s="16"/>
    </row>
    <row r="18" spans="1:23" x14ac:dyDescent="0.35">
      <c r="A18" s="27"/>
      <c r="B18" s="26" t="s">
        <v>43</v>
      </c>
      <c r="C18" s="24"/>
      <c r="D18" s="23"/>
      <c r="E18" s="23"/>
      <c r="F18" s="23"/>
      <c r="G18" s="24"/>
      <c r="H18" s="24"/>
      <c r="I18" s="23"/>
      <c r="J18" s="23"/>
      <c r="K18" s="24"/>
      <c r="L18" s="23"/>
      <c r="M18" s="23"/>
      <c r="N18" s="23"/>
      <c r="O18" s="23"/>
      <c r="P18" s="23"/>
      <c r="Q18" s="23"/>
      <c r="R18" s="23"/>
      <c r="S18" s="16"/>
      <c r="T18" s="16"/>
      <c r="U18" s="16"/>
      <c r="V18" s="16"/>
      <c r="W18" s="16"/>
    </row>
    <row r="19" spans="1:23" x14ac:dyDescent="0.35">
      <c r="A19" s="27"/>
      <c r="B19" s="26" t="s">
        <v>44</v>
      </c>
      <c r="C19" s="23"/>
      <c r="D19" s="24"/>
      <c r="E19" s="23"/>
      <c r="F19" s="23"/>
      <c r="G19" s="24"/>
      <c r="H19" s="23"/>
      <c r="I19" s="23"/>
      <c r="J19" s="23"/>
      <c r="K19" s="23"/>
      <c r="L19" s="24"/>
      <c r="M19" s="23"/>
      <c r="N19" s="23"/>
      <c r="O19" s="23"/>
      <c r="P19" s="23"/>
      <c r="Q19" s="23"/>
      <c r="R19" s="23"/>
      <c r="S19" s="16"/>
      <c r="T19" s="16"/>
      <c r="U19" s="16"/>
      <c r="V19" s="16"/>
      <c r="W19" s="16"/>
    </row>
    <row r="20" spans="1:23" x14ac:dyDescent="0.35">
      <c r="A20" s="27"/>
      <c r="B20" s="26" t="s">
        <v>26</v>
      </c>
      <c r="C20" s="23"/>
      <c r="D20" s="23"/>
      <c r="E20" s="26"/>
      <c r="F20" s="23"/>
      <c r="G20" s="23"/>
      <c r="H20" s="23"/>
      <c r="I20" s="24">
        <v>12828</v>
      </c>
      <c r="J20" s="26"/>
      <c r="K20" s="24"/>
      <c r="L20" s="23"/>
      <c r="M20" s="26"/>
      <c r="N20" s="26"/>
      <c r="O20" s="26"/>
      <c r="P20" s="23"/>
      <c r="Q20" s="23"/>
      <c r="R20" s="23"/>
      <c r="S20" s="16"/>
      <c r="T20" s="16"/>
      <c r="U20" s="16"/>
      <c r="V20" s="16"/>
      <c r="W20" s="16"/>
    </row>
    <row r="21" spans="1:23" x14ac:dyDescent="0.35">
      <c r="A21" s="27"/>
      <c r="B21" s="26" t="s">
        <v>27</v>
      </c>
      <c r="C21" s="23"/>
      <c r="D21" s="23"/>
      <c r="E21" s="26"/>
      <c r="F21" s="23"/>
      <c r="G21" s="23"/>
      <c r="H21" s="23"/>
      <c r="I21" s="26"/>
      <c r="J21" s="26"/>
      <c r="K21" s="26"/>
      <c r="L21" s="23"/>
      <c r="M21" s="26"/>
      <c r="N21" s="26"/>
      <c r="O21" s="24">
        <v>597</v>
      </c>
      <c r="P21" s="23"/>
      <c r="Q21" s="23"/>
      <c r="R21" s="23"/>
      <c r="S21" s="16"/>
      <c r="T21" s="16"/>
      <c r="U21" s="16"/>
      <c r="V21" s="16"/>
      <c r="W21" s="16"/>
    </row>
    <row r="22" spans="1:23" x14ac:dyDescent="0.35">
      <c r="A22" s="27"/>
      <c r="B22" s="26" t="s">
        <v>29</v>
      </c>
      <c r="C22" s="23"/>
      <c r="D22" s="23"/>
      <c r="E22" s="24">
        <v>5158</v>
      </c>
      <c r="F22" s="23"/>
      <c r="G22" s="23"/>
      <c r="H22" s="23"/>
      <c r="I22" s="24">
        <v>2200</v>
      </c>
      <c r="J22" s="24">
        <v>13394</v>
      </c>
      <c r="K22" s="24"/>
      <c r="L22" s="23"/>
      <c r="M22" s="26"/>
      <c r="N22" s="24">
        <v>42990</v>
      </c>
      <c r="O22" s="26"/>
      <c r="P22" s="23"/>
      <c r="Q22" s="23"/>
      <c r="R22" s="23"/>
      <c r="S22" s="16"/>
      <c r="T22" s="16"/>
      <c r="U22" s="16"/>
      <c r="V22" s="16"/>
      <c r="W22" s="16"/>
    </row>
    <row r="23" spans="1:23" x14ac:dyDescent="0.35">
      <c r="A23" s="27"/>
      <c r="B23" s="26" t="s">
        <v>32</v>
      </c>
      <c r="C23" s="23"/>
      <c r="D23" s="23"/>
      <c r="E23" s="24"/>
      <c r="F23" s="23"/>
      <c r="G23" s="23"/>
      <c r="H23" s="23"/>
      <c r="I23" s="24"/>
      <c r="J23" s="24"/>
      <c r="K23" s="26"/>
      <c r="L23" s="23"/>
      <c r="M23" s="24">
        <v>73782</v>
      </c>
      <c r="N23" s="26"/>
      <c r="O23" s="26"/>
      <c r="P23" s="23"/>
      <c r="Q23" s="23"/>
      <c r="R23" s="23"/>
      <c r="S23" s="16"/>
      <c r="T23" s="16"/>
      <c r="U23" s="16"/>
      <c r="V23" s="16"/>
      <c r="W23" s="16"/>
    </row>
    <row r="24" spans="1:23" x14ac:dyDescent="0.35">
      <c r="A24" s="27"/>
      <c r="B24" s="26" t="s">
        <v>45</v>
      </c>
      <c r="C24" s="23"/>
      <c r="D24" s="23"/>
      <c r="E24" s="26"/>
      <c r="F24" s="23"/>
      <c r="G24" s="23"/>
      <c r="H24" s="23"/>
      <c r="I24" s="26"/>
      <c r="J24" s="24"/>
      <c r="K24" s="26"/>
      <c r="L24" s="23"/>
      <c r="M24" s="24"/>
      <c r="N24" s="24">
        <v>1034</v>
      </c>
      <c r="O24" s="26"/>
      <c r="P24" s="23"/>
      <c r="Q24" s="23"/>
      <c r="R24" s="23"/>
      <c r="S24" s="16"/>
      <c r="T24" s="16"/>
      <c r="U24" s="16"/>
      <c r="V24" s="16"/>
      <c r="W24" s="16"/>
    </row>
    <row r="25" spans="1:23" x14ac:dyDescent="0.3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23" x14ac:dyDescent="0.35">
      <c r="A26" s="27"/>
      <c r="B26" s="26">
        <v>2</v>
      </c>
      <c r="C26" s="26" t="s">
        <v>5</v>
      </c>
      <c r="D26" s="26" t="s">
        <v>17</v>
      </c>
      <c r="E26" s="26" t="s">
        <v>6</v>
      </c>
      <c r="F26" s="26" t="s">
        <v>19</v>
      </c>
      <c r="G26" s="26" t="s">
        <v>23</v>
      </c>
      <c r="H26" s="26" t="s">
        <v>24</v>
      </c>
      <c r="I26" s="26" t="s">
        <v>9</v>
      </c>
      <c r="J26" s="26" t="s">
        <v>10</v>
      </c>
      <c r="K26" s="26" t="s">
        <v>11</v>
      </c>
      <c r="L26" s="26" t="s">
        <v>34</v>
      </c>
      <c r="M26" s="26" t="s">
        <v>13</v>
      </c>
      <c r="N26" s="26" t="s">
        <v>14</v>
      </c>
      <c r="O26" s="26" t="s">
        <v>15</v>
      </c>
      <c r="P26" s="26" t="s">
        <v>42</v>
      </c>
      <c r="Q26" s="26" t="s">
        <v>43</v>
      </c>
      <c r="R26" s="26" t="s">
        <v>44</v>
      </c>
      <c r="S26" s="14" t="s">
        <v>26</v>
      </c>
      <c r="T26" s="14" t="s">
        <v>27</v>
      </c>
      <c r="U26" s="14" t="s">
        <v>29</v>
      </c>
      <c r="V26" s="14" t="s">
        <v>32</v>
      </c>
      <c r="W26" s="14" t="s">
        <v>45</v>
      </c>
    </row>
    <row r="27" spans="1:23" x14ac:dyDescent="0.35">
      <c r="A27" s="27"/>
      <c r="B27" s="26" t="s">
        <v>5</v>
      </c>
      <c r="C27" s="23"/>
      <c r="D27" s="23"/>
      <c r="E27" s="23"/>
      <c r="F27" s="24"/>
      <c r="G27" s="23"/>
      <c r="H27" s="24"/>
      <c r="I27" s="23"/>
      <c r="J27" s="24"/>
      <c r="K27" s="24"/>
      <c r="L27" s="23"/>
      <c r="M27" s="23"/>
      <c r="N27" s="23"/>
      <c r="O27" s="23"/>
      <c r="P27" s="23"/>
      <c r="Q27" s="24"/>
      <c r="R27" s="23"/>
      <c r="S27" s="16"/>
      <c r="T27" s="16"/>
      <c r="U27" s="16"/>
      <c r="V27" s="16"/>
      <c r="W27" s="16"/>
    </row>
    <row r="28" spans="1:23" x14ac:dyDescent="0.35">
      <c r="B28" s="14" t="s">
        <v>17</v>
      </c>
      <c r="C28" s="16"/>
      <c r="D28" s="16"/>
      <c r="E28" s="16"/>
      <c r="F28" s="16"/>
      <c r="G28" s="17"/>
      <c r="H28" s="17"/>
      <c r="I28" s="16"/>
      <c r="J28" s="16"/>
      <c r="K28" s="16"/>
      <c r="L28" s="17"/>
      <c r="M28" s="16"/>
      <c r="N28" s="16"/>
      <c r="O28" s="16"/>
      <c r="P28" s="16"/>
      <c r="Q28" s="16"/>
      <c r="R28" s="17"/>
      <c r="S28" s="16"/>
      <c r="T28" s="16"/>
      <c r="U28" s="16"/>
      <c r="V28" s="16"/>
      <c r="W28" s="16"/>
    </row>
    <row r="29" spans="1:23" x14ac:dyDescent="0.35">
      <c r="B29" s="14" t="s">
        <v>6</v>
      </c>
      <c r="C29" s="16"/>
      <c r="D29" s="16"/>
      <c r="E29" s="16"/>
      <c r="F29" s="16"/>
      <c r="G29" s="16"/>
      <c r="H29" s="16"/>
      <c r="I29" s="17"/>
      <c r="J29" s="16"/>
      <c r="K29" s="16"/>
      <c r="L29" s="16"/>
      <c r="M29" s="16"/>
      <c r="N29" s="17"/>
      <c r="O29" s="16"/>
      <c r="P29" s="16"/>
      <c r="Q29" s="16"/>
      <c r="R29" s="16"/>
      <c r="S29" s="14"/>
      <c r="T29" s="14"/>
      <c r="U29" s="14"/>
      <c r="V29" s="14"/>
      <c r="W29" s="14"/>
    </row>
    <row r="30" spans="1:23" x14ac:dyDescent="0.35">
      <c r="B30" s="14" t="s">
        <v>19</v>
      </c>
      <c r="C30" s="17"/>
      <c r="D30" s="16"/>
      <c r="E30" s="16"/>
      <c r="F30" s="16"/>
      <c r="G30" s="16"/>
      <c r="H30" s="17"/>
      <c r="I30" s="16"/>
      <c r="J30" s="16"/>
      <c r="K30" s="16"/>
      <c r="L30" s="16"/>
      <c r="M30" s="17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 x14ac:dyDescent="0.35">
      <c r="B31" s="14" t="s">
        <v>23</v>
      </c>
      <c r="C31" s="16"/>
      <c r="D31" s="17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  <c r="P31" s="16"/>
      <c r="Q31" s="17"/>
      <c r="R31" s="17"/>
      <c r="S31" s="16"/>
      <c r="T31" s="16"/>
      <c r="U31" s="16"/>
      <c r="V31" s="16"/>
      <c r="W31" s="16"/>
    </row>
    <row r="32" spans="1:23" x14ac:dyDescent="0.35">
      <c r="B32" s="14" t="s">
        <v>24</v>
      </c>
      <c r="C32" s="17"/>
      <c r="D32" s="17"/>
      <c r="E32" s="16"/>
      <c r="F32" s="17"/>
      <c r="G32" s="16"/>
      <c r="H32" s="16"/>
      <c r="I32" s="16"/>
      <c r="J32" s="16"/>
      <c r="K32" s="16"/>
      <c r="L32" s="17"/>
      <c r="M32" s="17"/>
      <c r="N32" s="16"/>
      <c r="O32" s="16"/>
      <c r="P32" s="20"/>
      <c r="Q32" s="17"/>
      <c r="R32" s="16"/>
      <c r="S32" s="16"/>
      <c r="T32" s="16"/>
      <c r="U32" s="16"/>
      <c r="V32" s="16"/>
      <c r="W32" s="16"/>
    </row>
    <row r="33" spans="2:23" x14ac:dyDescent="0.35">
      <c r="B33" s="14" t="s">
        <v>9</v>
      </c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4"/>
      <c r="T33" s="14"/>
      <c r="U33" s="14"/>
      <c r="V33" s="14"/>
      <c r="W33" s="14"/>
    </row>
    <row r="34" spans="2:23" x14ac:dyDescent="0.35">
      <c r="B34" s="14" t="s">
        <v>10</v>
      </c>
      <c r="C34" s="17">
        <v>39194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/>
      <c r="O34" s="16"/>
      <c r="P34" s="16"/>
      <c r="Q34" s="16"/>
      <c r="R34" s="16"/>
      <c r="S34" s="14"/>
      <c r="T34" s="14"/>
      <c r="U34" s="14"/>
      <c r="V34" s="14"/>
      <c r="W34" s="14"/>
    </row>
    <row r="35" spans="2:23" x14ac:dyDescent="0.35">
      <c r="B35" s="14" t="s">
        <v>11</v>
      </c>
      <c r="C35" s="17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16"/>
      <c r="S35" s="14"/>
      <c r="T35" s="14"/>
      <c r="U35" s="14"/>
      <c r="V35" s="14"/>
      <c r="W35" s="14"/>
    </row>
    <row r="36" spans="2:23" x14ac:dyDescent="0.35">
      <c r="B36" s="14" t="s">
        <v>34</v>
      </c>
      <c r="C36" s="16"/>
      <c r="D36" s="17"/>
      <c r="E36" s="16"/>
      <c r="F36" s="16"/>
      <c r="G36" s="16"/>
      <c r="H36" s="17"/>
      <c r="I36" s="16"/>
      <c r="J36" s="16"/>
      <c r="K36" s="16"/>
      <c r="L36" s="16"/>
      <c r="M36" s="16"/>
      <c r="N36" s="16"/>
      <c r="O36" s="16"/>
      <c r="P36" s="16"/>
      <c r="Q36" s="16"/>
      <c r="R36" s="17"/>
      <c r="S36" s="16"/>
      <c r="T36" s="16"/>
      <c r="U36" s="16"/>
      <c r="V36" s="16"/>
      <c r="W36" s="16"/>
    </row>
    <row r="37" spans="2:23" x14ac:dyDescent="0.35">
      <c r="B37" s="14" t="s">
        <v>13</v>
      </c>
      <c r="C37" s="16"/>
      <c r="D37" s="16"/>
      <c r="E37" s="16"/>
      <c r="F37" s="17">
        <v>34777</v>
      </c>
      <c r="G37" s="16"/>
      <c r="H37" s="17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4"/>
      <c r="T37" s="14"/>
      <c r="U37" s="14"/>
      <c r="V37" s="14"/>
      <c r="W37" s="14"/>
    </row>
    <row r="38" spans="2:23" x14ac:dyDescent="0.35">
      <c r="B38" s="14" t="s">
        <v>14</v>
      </c>
      <c r="C38" s="16"/>
      <c r="D38" s="16"/>
      <c r="E38" s="17"/>
      <c r="F38" s="16"/>
      <c r="G38" s="16"/>
      <c r="H38" s="16"/>
      <c r="I38" s="16"/>
      <c r="J38" s="17"/>
      <c r="K38" s="16"/>
      <c r="L38" s="16"/>
      <c r="M38" s="16"/>
      <c r="N38" s="16"/>
      <c r="O38" s="16"/>
      <c r="P38" s="16"/>
      <c r="Q38" s="16"/>
      <c r="R38" s="16"/>
      <c r="S38" s="14"/>
      <c r="T38" s="14"/>
      <c r="U38" s="14"/>
      <c r="V38" s="14"/>
      <c r="W38" s="14"/>
    </row>
    <row r="39" spans="2:23" x14ac:dyDescent="0.35">
      <c r="B39" s="14" t="s">
        <v>15</v>
      </c>
      <c r="C39" s="16"/>
      <c r="D39" s="16"/>
      <c r="E39" s="16"/>
      <c r="F39" s="16"/>
      <c r="G39" s="17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4"/>
      <c r="T39" s="14"/>
      <c r="U39" s="14"/>
      <c r="V39" s="14"/>
      <c r="W39" s="14"/>
    </row>
    <row r="40" spans="2:23" x14ac:dyDescent="0.35">
      <c r="B40" s="14" t="s">
        <v>42</v>
      </c>
      <c r="C40" s="16"/>
      <c r="D40" s="16"/>
      <c r="E40" s="16"/>
      <c r="F40" s="16"/>
      <c r="G40" s="16"/>
      <c r="H40" s="20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2:23" x14ac:dyDescent="0.35">
      <c r="B41" s="14" t="s">
        <v>43</v>
      </c>
      <c r="C41" s="17"/>
      <c r="D41" s="16"/>
      <c r="E41" s="16"/>
      <c r="F41" s="16"/>
      <c r="G41" s="17"/>
      <c r="H41" s="17"/>
      <c r="I41" s="16"/>
      <c r="J41" s="16"/>
      <c r="K41" s="17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2:23" x14ac:dyDescent="0.35">
      <c r="B42" s="14" t="s">
        <v>44</v>
      </c>
      <c r="C42" s="16"/>
      <c r="D42" s="17"/>
      <c r="E42" s="16"/>
      <c r="F42" s="16"/>
      <c r="G42" s="17"/>
      <c r="H42" s="16"/>
      <c r="I42" s="16"/>
      <c r="J42" s="16"/>
      <c r="K42" s="16"/>
      <c r="L42" s="17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2:23" x14ac:dyDescent="0.35">
      <c r="B43" s="14" t="s">
        <v>26</v>
      </c>
      <c r="C43" s="16"/>
      <c r="D43" s="16"/>
      <c r="E43" s="14"/>
      <c r="F43" s="16"/>
      <c r="G43" s="16"/>
      <c r="H43" s="16"/>
      <c r="I43" s="17"/>
      <c r="J43" s="14"/>
      <c r="K43" s="17">
        <v>12828</v>
      </c>
      <c r="L43" s="16"/>
      <c r="M43" s="14"/>
      <c r="N43" s="14"/>
      <c r="O43" s="14"/>
      <c r="P43" s="16"/>
      <c r="Q43" s="16"/>
      <c r="R43" s="16"/>
      <c r="S43" s="16"/>
      <c r="T43" s="16"/>
      <c r="U43" s="16"/>
      <c r="V43" s="16"/>
      <c r="W43" s="16"/>
    </row>
    <row r="44" spans="2:23" x14ac:dyDescent="0.35">
      <c r="B44" s="14" t="s">
        <v>27</v>
      </c>
      <c r="C44" s="16"/>
      <c r="D44" s="16"/>
      <c r="E44" s="14"/>
      <c r="F44" s="16"/>
      <c r="G44" s="16"/>
      <c r="H44" s="16"/>
      <c r="I44" s="14"/>
      <c r="J44" s="14"/>
      <c r="K44" s="14"/>
      <c r="L44" s="16"/>
      <c r="M44" s="14"/>
      <c r="N44" s="14"/>
      <c r="O44" s="17">
        <v>597</v>
      </c>
      <c r="P44" s="16"/>
      <c r="Q44" s="16"/>
      <c r="R44" s="16"/>
      <c r="S44" s="16"/>
      <c r="T44" s="16"/>
      <c r="U44" s="16"/>
      <c r="V44" s="16"/>
      <c r="W44" s="16"/>
    </row>
    <row r="45" spans="2:23" x14ac:dyDescent="0.35">
      <c r="B45" s="14" t="s">
        <v>29</v>
      </c>
      <c r="C45" s="16"/>
      <c r="D45" s="16"/>
      <c r="E45" s="17"/>
      <c r="F45" s="16"/>
      <c r="G45" s="16"/>
      <c r="H45" s="16"/>
      <c r="I45" s="17">
        <v>85</v>
      </c>
      <c r="J45" s="17">
        <v>39194</v>
      </c>
      <c r="K45" s="17">
        <v>24463</v>
      </c>
      <c r="L45" s="16"/>
      <c r="M45" s="14"/>
      <c r="N45" s="17"/>
      <c r="O45" s="14"/>
      <c r="P45" s="16"/>
      <c r="Q45" s="16"/>
      <c r="R45" s="16"/>
      <c r="S45" s="16"/>
      <c r="T45" s="16"/>
      <c r="U45" s="16"/>
      <c r="V45" s="16"/>
      <c r="W45" s="16"/>
    </row>
    <row r="46" spans="2:23" x14ac:dyDescent="0.35">
      <c r="B46" s="14" t="s">
        <v>32</v>
      </c>
      <c r="C46" s="16"/>
      <c r="D46" s="16"/>
      <c r="E46" s="17"/>
      <c r="F46" s="16"/>
      <c r="G46" s="16"/>
      <c r="H46" s="16"/>
      <c r="I46" s="17">
        <v>5877</v>
      </c>
      <c r="J46" s="17"/>
      <c r="K46" s="14"/>
      <c r="L46" s="16"/>
      <c r="M46" s="17">
        <v>67905</v>
      </c>
      <c r="N46" s="14"/>
      <c r="O46" s="14"/>
      <c r="P46" s="16"/>
      <c r="Q46" s="16"/>
      <c r="R46" s="16"/>
      <c r="S46" s="16"/>
      <c r="T46" s="16"/>
      <c r="U46" s="16"/>
      <c r="V46" s="16"/>
      <c r="W46" s="16"/>
    </row>
    <row r="47" spans="2:23" x14ac:dyDescent="0.35">
      <c r="B47" s="14" t="s">
        <v>45</v>
      </c>
      <c r="C47" s="16"/>
      <c r="D47" s="16"/>
      <c r="E47" s="14"/>
      <c r="F47" s="16"/>
      <c r="G47" s="16"/>
      <c r="H47" s="16"/>
      <c r="I47" s="14"/>
      <c r="J47" s="17"/>
      <c r="K47" s="14"/>
      <c r="L47" s="16"/>
      <c r="M47" s="17">
        <v>1034</v>
      </c>
      <c r="N47" s="17"/>
      <c r="O47" s="14"/>
      <c r="P47" s="16"/>
      <c r="Q47" s="16"/>
      <c r="R47" s="16"/>
      <c r="S47" s="16"/>
      <c r="T47" s="16"/>
      <c r="U47" s="16"/>
      <c r="V47" s="16"/>
      <c r="W47" s="16"/>
    </row>
    <row r="49" spans="2:23" x14ac:dyDescent="0.35">
      <c r="B49" s="14">
        <v>3</v>
      </c>
      <c r="C49" s="14" t="s">
        <v>5</v>
      </c>
      <c r="D49" s="14" t="s">
        <v>17</v>
      </c>
      <c r="E49" s="14" t="s">
        <v>6</v>
      </c>
      <c r="F49" s="14" t="s">
        <v>19</v>
      </c>
      <c r="G49" s="14" t="s">
        <v>23</v>
      </c>
      <c r="H49" s="14" t="s">
        <v>24</v>
      </c>
      <c r="I49" s="14" t="s">
        <v>9</v>
      </c>
      <c r="J49" s="14" t="s">
        <v>10</v>
      </c>
      <c r="K49" s="14" t="s">
        <v>11</v>
      </c>
      <c r="L49" s="14" t="s">
        <v>34</v>
      </c>
      <c r="M49" s="14" t="s">
        <v>13</v>
      </c>
      <c r="N49" s="14" t="s">
        <v>14</v>
      </c>
      <c r="O49" s="14" t="s">
        <v>15</v>
      </c>
      <c r="P49" s="14" t="s">
        <v>42</v>
      </c>
      <c r="Q49" s="14" t="s">
        <v>43</v>
      </c>
      <c r="R49" s="14" t="s">
        <v>44</v>
      </c>
      <c r="S49" s="14" t="s">
        <v>26</v>
      </c>
      <c r="T49" s="14" t="s">
        <v>27</v>
      </c>
      <c r="U49" s="14" t="s">
        <v>29</v>
      </c>
      <c r="V49" s="14" t="s">
        <v>32</v>
      </c>
      <c r="W49" s="14" t="s">
        <v>45</v>
      </c>
    </row>
    <row r="50" spans="2:23" x14ac:dyDescent="0.35">
      <c r="B50" s="14" t="s">
        <v>5</v>
      </c>
      <c r="C50" s="16"/>
      <c r="D50" s="16"/>
      <c r="E50" s="16"/>
      <c r="F50" s="17"/>
      <c r="G50" s="16"/>
      <c r="H50" s="17"/>
      <c r="I50" s="16"/>
      <c r="J50" s="17"/>
      <c r="K50" s="17"/>
      <c r="L50" s="16"/>
      <c r="M50" s="16"/>
      <c r="N50" s="16"/>
      <c r="O50" s="16"/>
      <c r="P50" s="16"/>
      <c r="Q50" s="17"/>
      <c r="R50" s="16"/>
      <c r="S50" s="16"/>
      <c r="T50" s="16"/>
      <c r="U50" s="16"/>
      <c r="V50" s="16"/>
      <c r="W50" s="16"/>
    </row>
    <row r="51" spans="2:23" x14ac:dyDescent="0.35">
      <c r="B51" s="14" t="s">
        <v>17</v>
      </c>
      <c r="C51" s="16"/>
      <c r="D51" s="16"/>
      <c r="E51" s="16"/>
      <c r="F51" s="16"/>
      <c r="G51" s="17"/>
      <c r="H51" s="17"/>
      <c r="I51" s="16"/>
      <c r="J51" s="16"/>
      <c r="K51" s="16"/>
      <c r="L51" s="17"/>
      <c r="M51" s="16"/>
      <c r="N51" s="16"/>
      <c r="O51" s="16"/>
      <c r="P51" s="16"/>
      <c r="Q51" s="16"/>
      <c r="R51" s="17"/>
      <c r="S51" s="16"/>
      <c r="T51" s="16"/>
      <c r="U51" s="16"/>
      <c r="V51" s="16"/>
      <c r="W51" s="16"/>
    </row>
    <row r="52" spans="2:23" x14ac:dyDescent="0.35">
      <c r="B52" s="14" t="s">
        <v>6</v>
      </c>
      <c r="C52" s="16"/>
      <c r="D52" s="16"/>
      <c r="E52" s="16"/>
      <c r="F52" s="16"/>
      <c r="G52" s="16"/>
      <c r="H52" s="16"/>
      <c r="I52" s="17"/>
      <c r="J52" s="16"/>
      <c r="K52" s="16"/>
      <c r="L52" s="16"/>
      <c r="M52" s="16"/>
      <c r="N52" s="17"/>
      <c r="O52" s="16"/>
      <c r="P52" s="16"/>
      <c r="Q52" s="16"/>
      <c r="R52" s="16"/>
      <c r="S52" s="14"/>
      <c r="T52" s="14"/>
      <c r="U52" s="14"/>
      <c r="V52" s="14"/>
      <c r="W52" s="14"/>
    </row>
    <row r="53" spans="2:23" x14ac:dyDescent="0.35">
      <c r="B53" s="14" t="s">
        <v>19</v>
      </c>
      <c r="C53" s="17"/>
      <c r="D53" s="16"/>
      <c r="E53" s="16"/>
      <c r="F53" s="16"/>
      <c r="G53" s="16"/>
      <c r="H53" s="17"/>
      <c r="I53" s="16"/>
      <c r="J53" s="16"/>
      <c r="K53" s="16"/>
      <c r="L53" s="16"/>
      <c r="M53" s="17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2:23" x14ac:dyDescent="0.35">
      <c r="B54" s="14" t="s">
        <v>23</v>
      </c>
      <c r="C54" s="16"/>
      <c r="D54" s="17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7"/>
      <c r="P54" s="16"/>
      <c r="Q54" s="17"/>
      <c r="R54" s="17"/>
      <c r="S54" s="16"/>
      <c r="T54" s="16"/>
      <c r="U54" s="16"/>
      <c r="V54" s="16"/>
      <c r="W54" s="16"/>
    </row>
    <row r="55" spans="2:23" x14ac:dyDescent="0.35">
      <c r="B55" s="14" t="s">
        <v>24</v>
      </c>
      <c r="C55" s="17"/>
      <c r="D55" s="17"/>
      <c r="E55" s="16"/>
      <c r="F55" s="17"/>
      <c r="G55" s="16"/>
      <c r="H55" s="16"/>
      <c r="I55" s="16"/>
      <c r="J55" s="16"/>
      <c r="K55" s="16"/>
      <c r="L55" s="17"/>
      <c r="M55" s="17"/>
      <c r="N55" s="16"/>
      <c r="O55" s="16"/>
      <c r="P55" s="20"/>
      <c r="Q55" s="17"/>
      <c r="R55" s="16"/>
      <c r="S55" s="16"/>
      <c r="T55" s="16"/>
      <c r="U55" s="16"/>
      <c r="V55" s="16"/>
      <c r="W55" s="16"/>
    </row>
    <row r="56" spans="2:23" x14ac:dyDescent="0.35">
      <c r="B56" s="14" t="s">
        <v>9</v>
      </c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4"/>
      <c r="T56" s="14"/>
      <c r="U56" s="14"/>
      <c r="V56" s="14"/>
      <c r="W56" s="14"/>
    </row>
    <row r="57" spans="2:23" x14ac:dyDescent="0.35">
      <c r="B57" s="14" t="s">
        <v>10</v>
      </c>
      <c r="C57" s="17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7"/>
      <c r="O57" s="16"/>
      <c r="P57" s="16"/>
      <c r="Q57" s="16"/>
      <c r="R57" s="16"/>
      <c r="S57" s="14"/>
      <c r="T57" s="14"/>
      <c r="U57" s="14"/>
      <c r="V57" s="14"/>
      <c r="W57" s="14"/>
    </row>
    <row r="58" spans="2:23" x14ac:dyDescent="0.35">
      <c r="B58" s="14" t="s">
        <v>11</v>
      </c>
      <c r="C58" s="1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7"/>
      <c r="R58" s="16"/>
      <c r="S58" s="14"/>
      <c r="T58" s="14"/>
      <c r="U58" s="14"/>
      <c r="V58" s="14"/>
      <c r="W58" s="14"/>
    </row>
    <row r="59" spans="2:23" x14ac:dyDescent="0.35">
      <c r="B59" s="14" t="s">
        <v>34</v>
      </c>
      <c r="C59" s="16"/>
      <c r="D59" s="17"/>
      <c r="E59" s="16"/>
      <c r="F59" s="16"/>
      <c r="G59" s="16"/>
      <c r="H59" s="17"/>
      <c r="I59" s="16"/>
      <c r="J59" s="16"/>
      <c r="K59" s="16"/>
      <c r="L59" s="16"/>
      <c r="M59" s="16"/>
      <c r="N59" s="16"/>
      <c r="O59" s="16"/>
      <c r="P59" s="16"/>
      <c r="Q59" s="16"/>
      <c r="R59" s="17"/>
      <c r="S59" s="16"/>
      <c r="T59" s="16"/>
      <c r="U59" s="16"/>
      <c r="V59" s="16"/>
      <c r="W59" s="16"/>
    </row>
    <row r="60" spans="2:23" x14ac:dyDescent="0.35">
      <c r="B60" s="14" t="s">
        <v>13</v>
      </c>
      <c r="C60" s="16"/>
      <c r="D60" s="16"/>
      <c r="E60" s="16"/>
      <c r="F60" s="17"/>
      <c r="G60" s="16"/>
      <c r="H60" s="17">
        <v>74816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4"/>
      <c r="T60" s="14"/>
      <c r="U60" s="14"/>
      <c r="V60" s="14"/>
      <c r="W60" s="14"/>
    </row>
    <row r="61" spans="2:23" x14ac:dyDescent="0.35">
      <c r="B61" s="14" t="s">
        <v>14</v>
      </c>
      <c r="C61" s="16"/>
      <c r="D61" s="16"/>
      <c r="E61" s="17"/>
      <c r="F61" s="16"/>
      <c r="G61" s="16"/>
      <c r="H61" s="16"/>
      <c r="I61" s="16"/>
      <c r="J61" s="17"/>
      <c r="K61" s="16"/>
      <c r="L61" s="16"/>
      <c r="M61" s="16"/>
      <c r="N61" s="16"/>
      <c r="O61" s="16"/>
      <c r="P61" s="16"/>
      <c r="Q61" s="16"/>
      <c r="R61" s="16"/>
      <c r="S61" s="14"/>
      <c r="T61" s="14"/>
      <c r="U61" s="14"/>
      <c r="V61" s="14"/>
      <c r="W61" s="14"/>
    </row>
    <row r="62" spans="2:23" x14ac:dyDescent="0.35">
      <c r="B62" s="14" t="s">
        <v>15</v>
      </c>
      <c r="C62" s="16"/>
      <c r="D62" s="16"/>
      <c r="E62" s="16"/>
      <c r="F62" s="16"/>
      <c r="G62" s="17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4"/>
      <c r="T62" s="14"/>
      <c r="U62" s="14"/>
      <c r="V62" s="14"/>
      <c r="W62" s="14"/>
    </row>
    <row r="63" spans="2:23" x14ac:dyDescent="0.35">
      <c r="B63" s="14" t="s">
        <v>42</v>
      </c>
      <c r="C63" s="16"/>
      <c r="D63" s="16"/>
      <c r="E63" s="16"/>
      <c r="F63" s="16"/>
      <c r="G63" s="16"/>
      <c r="H63" s="20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2:23" x14ac:dyDescent="0.35">
      <c r="B64" s="14" t="s">
        <v>43</v>
      </c>
      <c r="C64" s="17"/>
      <c r="D64" s="16"/>
      <c r="E64" s="16"/>
      <c r="F64" s="16"/>
      <c r="G64" s="17"/>
      <c r="H64" s="17"/>
      <c r="I64" s="16"/>
      <c r="J64" s="16"/>
      <c r="K64" s="17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2:23" x14ac:dyDescent="0.35">
      <c r="B65" s="14" t="s">
        <v>44</v>
      </c>
      <c r="C65" s="16"/>
      <c r="D65" s="17"/>
      <c r="E65" s="16"/>
      <c r="F65" s="16"/>
      <c r="G65" s="17"/>
      <c r="H65" s="16"/>
      <c r="I65" s="16"/>
      <c r="J65" s="16"/>
      <c r="K65" s="16"/>
      <c r="L65" s="17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2:23" x14ac:dyDescent="0.35">
      <c r="B66" s="14" t="s">
        <v>26</v>
      </c>
      <c r="C66" s="16"/>
      <c r="D66" s="16"/>
      <c r="E66" s="14"/>
      <c r="F66" s="16"/>
      <c r="G66" s="16"/>
      <c r="H66" s="16"/>
      <c r="I66" s="17"/>
      <c r="J66" s="14"/>
      <c r="K66" s="17">
        <v>12828</v>
      </c>
      <c r="L66" s="16"/>
      <c r="M66" s="14"/>
      <c r="N66" s="14"/>
      <c r="O66" s="14"/>
      <c r="P66" s="16"/>
      <c r="Q66" s="16"/>
      <c r="R66" s="16"/>
      <c r="S66" s="16"/>
      <c r="T66" s="16"/>
      <c r="U66" s="16"/>
      <c r="V66" s="16"/>
      <c r="W66" s="16"/>
    </row>
    <row r="67" spans="2:23" x14ac:dyDescent="0.35">
      <c r="B67" s="14" t="s">
        <v>27</v>
      </c>
      <c r="C67" s="16"/>
      <c r="D67" s="16"/>
      <c r="E67" s="14"/>
      <c r="F67" s="16"/>
      <c r="G67" s="16"/>
      <c r="H67" s="16"/>
      <c r="I67" s="14"/>
      <c r="J67" s="14"/>
      <c r="K67" s="14"/>
      <c r="L67" s="16"/>
      <c r="M67" s="14"/>
      <c r="N67" s="14"/>
      <c r="O67" s="17">
        <v>597</v>
      </c>
      <c r="P67" s="16"/>
      <c r="Q67" s="16"/>
      <c r="R67" s="16"/>
      <c r="S67" s="16"/>
      <c r="T67" s="16"/>
      <c r="U67" s="16"/>
      <c r="V67" s="16"/>
      <c r="W67" s="16"/>
    </row>
    <row r="68" spans="2:23" x14ac:dyDescent="0.35">
      <c r="B68" s="14" t="s">
        <v>29</v>
      </c>
      <c r="C68" s="16"/>
      <c r="D68" s="16"/>
      <c r="E68" s="17"/>
      <c r="F68" s="16"/>
      <c r="G68" s="16"/>
      <c r="H68" s="16"/>
      <c r="I68" s="17"/>
      <c r="J68" s="17"/>
      <c r="K68" s="17">
        <v>63742</v>
      </c>
      <c r="L68" s="16"/>
      <c r="M68" s="14"/>
      <c r="N68" s="17"/>
      <c r="O68" s="14"/>
      <c r="P68" s="16"/>
      <c r="Q68" s="16"/>
      <c r="R68" s="16"/>
      <c r="S68" s="16"/>
      <c r="T68" s="16"/>
      <c r="U68" s="16"/>
      <c r="V68" s="16"/>
      <c r="W68" s="16"/>
    </row>
    <row r="69" spans="2:23" x14ac:dyDescent="0.35">
      <c r="B69" s="14" t="s">
        <v>32</v>
      </c>
      <c r="C69" s="16"/>
      <c r="D69" s="16"/>
      <c r="E69" s="17"/>
      <c r="F69" s="16"/>
      <c r="G69" s="16"/>
      <c r="H69" s="16"/>
      <c r="I69" s="17"/>
      <c r="J69" s="17"/>
      <c r="K69" s="14"/>
      <c r="L69" s="16"/>
      <c r="M69" s="17">
        <v>73782</v>
      </c>
      <c r="N69" s="14"/>
      <c r="O69" s="14"/>
      <c r="P69" s="16"/>
      <c r="Q69" s="16"/>
      <c r="R69" s="16"/>
      <c r="S69" s="16"/>
      <c r="T69" s="16"/>
      <c r="U69" s="16"/>
      <c r="V69" s="16"/>
      <c r="W69" s="16"/>
    </row>
    <row r="70" spans="2:23" x14ac:dyDescent="0.35">
      <c r="B70" s="14" t="s">
        <v>45</v>
      </c>
      <c r="C70" s="16"/>
      <c r="D70" s="16"/>
      <c r="E70" s="14"/>
      <c r="F70" s="16"/>
      <c r="G70" s="16"/>
      <c r="H70" s="16"/>
      <c r="I70" s="14"/>
      <c r="J70" s="17"/>
      <c r="K70" s="14"/>
      <c r="L70" s="16"/>
      <c r="M70" s="17">
        <v>1034</v>
      </c>
      <c r="N70" s="17"/>
      <c r="O70" s="14"/>
      <c r="P70" s="16"/>
      <c r="Q70" s="16"/>
      <c r="R70" s="16"/>
      <c r="S70" s="16"/>
      <c r="T70" s="16"/>
      <c r="U70" s="16"/>
      <c r="V70" s="16"/>
      <c r="W70" s="16"/>
    </row>
    <row r="72" spans="2:23" x14ac:dyDescent="0.35">
      <c r="B72" s="14">
        <v>4</v>
      </c>
      <c r="C72" s="14" t="s">
        <v>5</v>
      </c>
      <c r="D72" s="14" t="s">
        <v>17</v>
      </c>
      <c r="E72" s="14" t="s">
        <v>6</v>
      </c>
      <c r="F72" s="14" t="s">
        <v>19</v>
      </c>
      <c r="G72" s="14" t="s">
        <v>23</v>
      </c>
      <c r="H72" s="14" t="s">
        <v>24</v>
      </c>
      <c r="I72" s="14" t="s">
        <v>9</v>
      </c>
      <c r="J72" s="14" t="s">
        <v>10</v>
      </c>
      <c r="K72" s="14" t="s">
        <v>11</v>
      </c>
      <c r="L72" s="14" t="s">
        <v>34</v>
      </c>
      <c r="M72" s="14" t="s">
        <v>13</v>
      </c>
      <c r="N72" s="14" t="s">
        <v>14</v>
      </c>
      <c r="O72" s="14" t="s">
        <v>15</v>
      </c>
      <c r="P72" s="14" t="s">
        <v>42</v>
      </c>
      <c r="Q72" s="14" t="s">
        <v>43</v>
      </c>
      <c r="R72" s="14" t="s">
        <v>44</v>
      </c>
      <c r="S72" s="14" t="s">
        <v>26</v>
      </c>
      <c r="T72" s="14" t="s">
        <v>27</v>
      </c>
      <c r="U72" s="14" t="s">
        <v>29</v>
      </c>
      <c r="V72" s="14" t="s">
        <v>32</v>
      </c>
      <c r="W72" s="14" t="s">
        <v>45</v>
      </c>
    </row>
    <row r="73" spans="2:23" x14ac:dyDescent="0.35">
      <c r="B73" s="14" t="s">
        <v>5</v>
      </c>
      <c r="C73" s="16"/>
      <c r="D73" s="16"/>
      <c r="E73" s="16"/>
      <c r="F73" s="17"/>
      <c r="G73" s="16"/>
      <c r="H73" s="17"/>
      <c r="I73" s="16"/>
      <c r="J73" s="17"/>
      <c r="K73" s="17"/>
      <c r="L73" s="16"/>
      <c r="M73" s="16"/>
      <c r="N73" s="16"/>
      <c r="O73" s="16"/>
      <c r="P73" s="16"/>
      <c r="Q73" s="17"/>
      <c r="R73" s="16"/>
      <c r="S73" s="16"/>
      <c r="T73" s="16"/>
      <c r="U73" s="16"/>
      <c r="V73" s="16"/>
      <c r="W73" s="16"/>
    </row>
    <row r="74" spans="2:23" x14ac:dyDescent="0.35">
      <c r="B74" s="14" t="s">
        <v>17</v>
      </c>
      <c r="C74" s="16"/>
      <c r="D74" s="16"/>
      <c r="E74" s="16"/>
      <c r="F74" s="16"/>
      <c r="G74" s="17"/>
      <c r="H74" s="17"/>
      <c r="I74" s="16"/>
      <c r="J74" s="16"/>
      <c r="K74" s="16"/>
      <c r="L74" s="17"/>
      <c r="M74" s="16"/>
      <c r="N74" s="16"/>
      <c r="O74" s="16"/>
      <c r="P74" s="16"/>
      <c r="Q74" s="16"/>
      <c r="R74" s="17"/>
      <c r="S74" s="16"/>
      <c r="T74" s="16"/>
      <c r="U74" s="16"/>
      <c r="V74" s="16"/>
      <c r="W74" s="16"/>
    </row>
    <row r="75" spans="2:23" x14ac:dyDescent="0.35">
      <c r="B75" s="14" t="s">
        <v>6</v>
      </c>
      <c r="C75" s="16"/>
      <c r="D75" s="16"/>
      <c r="E75" s="16"/>
      <c r="F75" s="16"/>
      <c r="G75" s="16"/>
      <c r="H75" s="16"/>
      <c r="I75" s="17"/>
      <c r="J75" s="16"/>
      <c r="K75" s="16"/>
      <c r="L75" s="16"/>
      <c r="M75" s="16"/>
      <c r="N75" s="17"/>
      <c r="O75" s="16"/>
      <c r="P75" s="16"/>
      <c r="Q75" s="16"/>
      <c r="R75" s="16"/>
      <c r="S75" s="14"/>
      <c r="T75" s="14"/>
      <c r="U75" s="14"/>
      <c r="V75" s="14"/>
      <c r="W75" s="14"/>
    </row>
    <row r="76" spans="2:23" x14ac:dyDescent="0.35">
      <c r="B76" s="14" t="s">
        <v>19</v>
      </c>
      <c r="C76" s="17"/>
      <c r="D76" s="16"/>
      <c r="E76" s="16"/>
      <c r="F76" s="16"/>
      <c r="G76" s="16"/>
      <c r="H76" s="17"/>
      <c r="I76" s="16"/>
      <c r="J76" s="16"/>
      <c r="K76" s="16"/>
      <c r="L76" s="16"/>
      <c r="M76" s="17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2:23" x14ac:dyDescent="0.35">
      <c r="B77" s="14" t="s">
        <v>23</v>
      </c>
      <c r="C77" s="16"/>
      <c r="D77" s="17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7"/>
      <c r="P77" s="16"/>
      <c r="Q77" s="17"/>
      <c r="R77" s="17"/>
      <c r="S77" s="16"/>
      <c r="T77" s="16"/>
      <c r="U77" s="16"/>
      <c r="V77" s="16"/>
      <c r="W77" s="16"/>
    </row>
    <row r="78" spans="2:23" x14ac:dyDescent="0.35">
      <c r="B78" s="14" t="s">
        <v>24</v>
      </c>
      <c r="C78" s="17"/>
      <c r="D78" s="17"/>
      <c r="E78" s="16"/>
      <c r="F78" s="17"/>
      <c r="G78" s="16"/>
      <c r="H78" s="16"/>
      <c r="I78" s="16"/>
      <c r="J78" s="16"/>
      <c r="K78" s="16"/>
      <c r="L78" s="17"/>
      <c r="M78" s="17"/>
      <c r="N78" s="16"/>
      <c r="O78" s="16"/>
      <c r="P78" s="20"/>
      <c r="Q78" s="17"/>
      <c r="R78" s="16"/>
      <c r="S78" s="16"/>
      <c r="T78" s="16"/>
      <c r="U78" s="16"/>
      <c r="V78" s="16"/>
      <c r="W78" s="16"/>
    </row>
    <row r="79" spans="2:23" x14ac:dyDescent="0.35">
      <c r="B79" s="14" t="s">
        <v>9</v>
      </c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4"/>
      <c r="T79" s="14"/>
      <c r="U79" s="14"/>
      <c r="V79" s="14"/>
      <c r="W79" s="14"/>
    </row>
    <row r="80" spans="2:23" x14ac:dyDescent="0.35">
      <c r="B80" s="14" t="s">
        <v>10</v>
      </c>
      <c r="C80" s="17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7"/>
      <c r="O80" s="16"/>
      <c r="P80" s="16"/>
      <c r="Q80" s="16"/>
      <c r="R80" s="16"/>
      <c r="S80" s="14"/>
      <c r="T80" s="14"/>
      <c r="U80" s="14"/>
      <c r="V80" s="14"/>
      <c r="W80" s="14"/>
    </row>
    <row r="81" spans="2:23" x14ac:dyDescent="0.35">
      <c r="B81" s="14" t="s">
        <v>11</v>
      </c>
      <c r="C81" s="17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7"/>
      <c r="R81" s="16"/>
      <c r="S81" s="14"/>
      <c r="T81" s="14"/>
      <c r="U81" s="14"/>
      <c r="V81" s="14"/>
      <c r="W81" s="14"/>
    </row>
    <row r="82" spans="2:23" x14ac:dyDescent="0.35">
      <c r="B82" s="14" t="s">
        <v>34</v>
      </c>
      <c r="C82" s="16"/>
      <c r="D82" s="17"/>
      <c r="E82" s="16"/>
      <c r="F82" s="16"/>
      <c r="G82" s="16"/>
      <c r="H82" s="17"/>
      <c r="I82" s="16"/>
      <c r="J82" s="16"/>
      <c r="K82" s="16"/>
      <c r="L82" s="16"/>
      <c r="M82" s="16"/>
      <c r="N82" s="16"/>
      <c r="O82" s="16"/>
      <c r="P82" s="16"/>
      <c r="Q82" s="16"/>
      <c r="R82" s="17"/>
      <c r="S82" s="16"/>
      <c r="T82" s="16"/>
      <c r="U82" s="16"/>
      <c r="V82" s="16"/>
      <c r="W82" s="16"/>
    </row>
    <row r="83" spans="2:23" x14ac:dyDescent="0.35">
      <c r="B83" s="14" t="s">
        <v>13</v>
      </c>
      <c r="C83" s="16"/>
      <c r="D83" s="16"/>
      <c r="E83" s="16"/>
      <c r="F83" s="17"/>
      <c r="G83" s="16"/>
      <c r="H83" s="17">
        <v>74816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4"/>
      <c r="T83" s="14"/>
      <c r="U83" s="14"/>
      <c r="V83" s="14"/>
      <c r="W83" s="14"/>
    </row>
    <row r="84" spans="2:23" x14ac:dyDescent="0.35">
      <c r="B84" s="14" t="s">
        <v>14</v>
      </c>
      <c r="C84" s="16"/>
      <c r="D84" s="16"/>
      <c r="E84" s="17"/>
      <c r="F84" s="16"/>
      <c r="G84" s="16"/>
      <c r="H84" s="16"/>
      <c r="I84" s="16"/>
      <c r="J84" s="17"/>
      <c r="K84" s="16"/>
      <c r="L84" s="16"/>
      <c r="M84" s="16"/>
      <c r="N84" s="16"/>
      <c r="O84" s="16"/>
      <c r="P84" s="16"/>
      <c r="Q84" s="16"/>
      <c r="R84" s="16"/>
      <c r="S84" s="14"/>
      <c r="T84" s="14"/>
      <c r="U84" s="14"/>
      <c r="V84" s="14"/>
      <c r="W84" s="14"/>
    </row>
    <row r="85" spans="2:23" x14ac:dyDescent="0.35">
      <c r="B85" s="14" t="s">
        <v>15</v>
      </c>
      <c r="C85" s="16"/>
      <c r="D85" s="16"/>
      <c r="E85" s="16"/>
      <c r="F85" s="16"/>
      <c r="G85" s="17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4"/>
      <c r="T85" s="14"/>
      <c r="U85" s="14"/>
      <c r="V85" s="14"/>
      <c r="W85" s="14"/>
    </row>
    <row r="86" spans="2:23" x14ac:dyDescent="0.35">
      <c r="B86" s="14" t="s">
        <v>42</v>
      </c>
      <c r="C86" s="16"/>
      <c r="D86" s="16"/>
      <c r="E86" s="16"/>
      <c r="F86" s="16"/>
      <c r="G86" s="16"/>
      <c r="H86" s="20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2:23" x14ac:dyDescent="0.35">
      <c r="B87" s="14" t="s">
        <v>43</v>
      </c>
      <c r="C87" s="17"/>
      <c r="D87" s="16"/>
      <c r="E87" s="16"/>
      <c r="F87" s="16"/>
      <c r="G87" s="17"/>
      <c r="H87" s="17"/>
      <c r="I87" s="16"/>
      <c r="J87" s="16"/>
      <c r="K87" s="17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2:23" x14ac:dyDescent="0.35">
      <c r="B88" s="14" t="s">
        <v>44</v>
      </c>
      <c r="C88" s="16"/>
      <c r="D88" s="17"/>
      <c r="E88" s="16"/>
      <c r="F88" s="16"/>
      <c r="G88" s="17"/>
      <c r="H88" s="16"/>
      <c r="I88" s="16"/>
      <c r="J88" s="16"/>
      <c r="K88" s="16"/>
      <c r="L88" s="17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2:23" x14ac:dyDescent="0.35">
      <c r="B89" s="14" t="s">
        <v>26</v>
      </c>
      <c r="C89" s="16"/>
      <c r="D89" s="16"/>
      <c r="E89" s="14"/>
      <c r="F89" s="16"/>
      <c r="G89" s="16"/>
      <c r="H89" s="16"/>
      <c r="I89" s="17"/>
      <c r="J89" s="14"/>
      <c r="K89" s="17">
        <v>12828</v>
      </c>
      <c r="L89" s="16"/>
      <c r="M89" s="14"/>
      <c r="N89" s="14"/>
      <c r="O89" s="14"/>
      <c r="P89" s="16"/>
      <c r="Q89" s="16"/>
      <c r="R89" s="16"/>
      <c r="S89" s="16"/>
      <c r="T89" s="16"/>
      <c r="U89" s="16"/>
      <c r="V89" s="16"/>
      <c r="W89" s="16"/>
    </row>
    <row r="90" spans="2:23" x14ac:dyDescent="0.35">
      <c r="B90" s="14" t="s">
        <v>27</v>
      </c>
      <c r="C90" s="16"/>
      <c r="D90" s="16"/>
      <c r="E90" s="14"/>
      <c r="F90" s="16"/>
      <c r="G90" s="16"/>
      <c r="H90" s="16"/>
      <c r="I90" s="14"/>
      <c r="J90" s="14"/>
      <c r="K90" s="14"/>
      <c r="L90" s="16"/>
      <c r="M90" s="14"/>
      <c r="N90" s="14"/>
      <c r="O90" s="17">
        <v>597</v>
      </c>
      <c r="P90" s="16"/>
      <c r="Q90" s="16"/>
      <c r="R90" s="16"/>
      <c r="S90" s="16"/>
      <c r="T90" s="16"/>
      <c r="U90" s="16"/>
      <c r="V90" s="16"/>
      <c r="W90" s="16"/>
    </row>
    <row r="91" spans="2:23" x14ac:dyDescent="0.35">
      <c r="B91" s="14" t="s">
        <v>29</v>
      </c>
      <c r="C91" s="16"/>
      <c r="D91" s="16"/>
      <c r="E91" s="17"/>
      <c r="F91" s="16"/>
      <c r="G91" s="16"/>
      <c r="H91" s="16"/>
      <c r="I91" s="17"/>
      <c r="J91" s="17"/>
      <c r="K91" s="17">
        <v>63742</v>
      </c>
      <c r="L91" s="16"/>
      <c r="M91" s="14"/>
      <c r="N91" s="17"/>
      <c r="O91" s="14"/>
      <c r="P91" s="16"/>
      <c r="Q91" s="16"/>
      <c r="R91" s="16"/>
      <c r="S91" s="16"/>
      <c r="T91" s="16"/>
      <c r="U91" s="16"/>
      <c r="V91" s="16"/>
      <c r="W91" s="16"/>
    </row>
    <row r="92" spans="2:23" x14ac:dyDescent="0.35">
      <c r="B92" s="14" t="s">
        <v>32</v>
      </c>
      <c r="C92" s="16"/>
      <c r="D92" s="16"/>
      <c r="E92" s="17"/>
      <c r="F92" s="16"/>
      <c r="G92" s="16"/>
      <c r="H92" s="16"/>
      <c r="I92" s="17"/>
      <c r="J92" s="17"/>
      <c r="K92" s="14"/>
      <c r="L92" s="16"/>
      <c r="M92" s="17">
        <v>73782</v>
      </c>
      <c r="N92" s="14"/>
      <c r="O92" s="14"/>
      <c r="P92" s="16"/>
      <c r="Q92" s="16"/>
      <c r="R92" s="16"/>
      <c r="S92" s="16"/>
      <c r="T92" s="16"/>
      <c r="U92" s="16"/>
      <c r="V92" s="16"/>
      <c r="W92" s="16"/>
    </row>
    <row r="93" spans="2:23" x14ac:dyDescent="0.35">
      <c r="B93" s="14" t="s">
        <v>45</v>
      </c>
      <c r="C93" s="16"/>
      <c r="D93" s="16"/>
      <c r="E93" s="14"/>
      <c r="F93" s="16"/>
      <c r="G93" s="16"/>
      <c r="H93" s="16"/>
      <c r="I93" s="14"/>
      <c r="J93" s="17"/>
      <c r="K93" s="14"/>
      <c r="L93" s="16"/>
      <c r="M93" s="17">
        <v>1034</v>
      </c>
      <c r="N93" s="17"/>
      <c r="O93" s="14"/>
      <c r="P93" s="16"/>
      <c r="Q93" s="16"/>
      <c r="R93" s="16"/>
      <c r="S93" s="16"/>
      <c r="T93" s="16"/>
      <c r="U93" s="16"/>
      <c r="V93" s="16"/>
      <c r="W93" s="16"/>
    </row>
    <row r="95" spans="2:23" x14ac:dyDescent="0.35">
      <c r="B95" s="14">
        <v>5</v>
      </c>
      <c r="C95" s="14" t="s">
        <v>5</v>
      </c>
      <c r="D95" s="14" t="s">
        <v>17</v>
      </c>
      <c r="E95" s="14" t="s">
        <v>6</v>
      </c>
      <c r="F95" s="14" t="s">
        <v>19</v>
      </c>
      <c r="G95" s="14" t="s">
        <v>23</v>
      </c>
      <c r="H95" s="14" t="s">
        <v>24</v>
      </c>
      <c r="I95" s="14" t="s">
        <v>9</v>
      </c>
      <c r="J95" s="14" t="s">
        <v>10</v>
      </c>
      <c r="K95" s="14" t="s">
        <v>11</v>
      </c>
      <c r="L95" s="14" t="s">
        <v>34</v>
      </c>
      <c r="M95" s="14" t="s">
        <v>13</v>
      </c>
      <c r="N95" s="14" t="s">
        <v>14</v>
      </c>
      <c r="O95" s="14" t="s">
        <v>15</v>
      </c>
      <c r="P95" s="14" t="s">
        <v>42</v>
      </c>
      <c r="Q95" s="14" t="s">
        <v>43</v>
      </c>
      <c r="R95" s="14" t="s">
        <v>44</v>
      </c>
      <c r="S95" s="14" t="s">
        <v>26</v>
      </c>
      <c r="T95" s="14" t="s">
        <v>27</v>
      </c>
      <c r="U95" s="14" t="s">
        <v>29</v>
      </c>
      <c r="V95" s="14" t="s">
        <v>32</v>
      </c>
      <c r="W95" s="14" t="s">
        <v>45</v>
      </c>
    </row>
    <row r="96" spans="2:23" x14ac:dyDescent="0.35">
      <c r="B96" s="14" t="s">
        <v>5</v>
      </c>
      <c r="C96" s="16"/>
      <c r="D96" s="16"/>
      <c r="E96" s="16"/>
      <c r="F96" s="17"/>
      <c r="G96" s="16"/>
      <c r="H96" s="17">
        <v>48222</v>
      </c>
      <c r="I96" s="16"/>
      <c r="J96" s="17"/>
      <c r="K96" s="17"/>
      <c r="L96" s="16"/>
      <c r="M96" s="16"/>
      <c r="N96" s="16"/>
      <c r="O96" s="16"/>
      <c r="P96" s="16"/>
      <c r="Q96" s="17"/>
      <c r="R96" s="16"/>
      <c r="S96" s="16"/>
      <c r="T96" s="16"/>
      <c r="U96" s="16"/>
      <c r="V96" s="16"/>
      <c r="W96" s="16"/>
    </row>
    <row r="97" spans="2:23" x14ac:dyDescent="0.35">
      <c r="B97" s="14" t="s">
        <v>17</v>
      </c>
      <c r="C97" s="16"/>
      <c r="D97" s="16"/>
      <c r="E97" s="16"/>
      <c r="F97" s="16"/>
      <c r="G97" s="17"/>
      <c r="H97" s="17"/>
      <c r="I97" s="16"/>
      <c r="J97" s="16"/>
      <c r="K97" s="16"/>
      <c r="L97" s="17"/>
      <c r="M97" s="16"/>
      <c r="N97" s="16"/>
      <c r="O97" s="16"/>
      <c r="P97" s="16"/>
      <c r="Q97" s="16"/>
      <c r="R97" s="17"/>
      <c r="S97" s="16"/>
      <c r="T97" s="16"/>
      <c r="U97" s="16"/>
      <c r="V97" s="16"/>
      <c r="W97" s="16"/>
    </row>
    <row r="98" spans="2:23" x14ac:dyDescent="0.35">
      <c r="B98" s="14" t="s">
        <v>6</v>
      </c>
      <c r="C98" s="16"/>
      <c r="D98" s="16"/>
      <c r="E98" s="16"/>
      <c r="F98" s="16"/>
      <c r="G98" s="16"/>
      <c r="H98" s="16"/>
      <c r="I98" s="17"/>
      <c r="J98" s="16"/>
      <c r="K98" s="16"/>
      <c r="L98" s="16"/>
      <c r="M98" s="16"/>
      <c r="N98" s="17"/>
      <c r="O98" s="16"/>
      <c r="P98" s="16"/>
      <c r="Q98" s="16"/>
      <c r="R98" s="16"/>
      <c r="S98" s="14"/>
      <c r="T98" s="14"/>
      <c r="U98" s="14"/>
      <c r="V98" s="14"/>
      <c r="W98" s="14"/>
    </row>
    <row r="99" spans="2:23" x14ac:dyDescent="0.35">
      <c r="B99" s="14" t="s">
        <v>19</v>
      </c>
      <c r="C99" s="17"/>
      <c r="D99" s="16"/>
      <c r="E99" s="16"/>
      <c r="F99" s="16"/>
      <c r="G99" s="16"/>
      <c r="H99" s="17"/>
      <c r="I99" s="16"/>
      <c r="J99" s="16"/>
      <c r="K99" s="16"/>
      <c r="L99" s="16"/>
      <c r="M99" s="17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spans="2:23" x14ac:dyDescent="0.35">
      <c r="B100" s="14" t="s">
        <v>23</v>
      </c>
      <c r="C100" s="16"/>
      <c r="D100" s="17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7"/>
      <c r="P100" s="16"/>
      <c r="Q100" s="17"/>
      <c r="R100" s="17"/>
      <c r="S100" s="16"/>
      <c r="T100" s="16"/>
      <c r="U100" s="16"/>
      <c r="V100" s="16"/>
      <c r="W100" s="16"/>
    </row>
    <row r="101" spans="2:23" x14ac:dyDescent="0.35">
      <c r="B101" s="14" t="s">
        <v>24</v>
      </c>
      <c r="C101" s="17"/>
      <c r="D101" s="17"/>
      <c r="E101" s="16"/>
      <c r="F101" s="17"/>
      <c r="G101" s="16"/>
      <c r="H101" s="16"/>
      <c r="I101" s="16"/>
      <c r="J101" s="16"/>
      <c r="K101" s="16"/>
      <c r="L101" s="17"/>
      <c r="M101" s="17"/>
      <c r="N101" s="16"/>
      <c r="O101" s="16"/>
      <c r="P101" s="20"/>
      <c r="Q101" s="17"/>
      <c r="R101" s="16"/>
      <c r="S101" s="16"/>
      <c r="T101" s="16"/>
      <c r="U101" s="16"/>
      <c r="V101" s="16"/>
      <c r="W101" s="16"/>
    </row>
    <row r="102" spans="2:23" x14ac:dyDescent="0.35">
      <c r="B102" s="14" t="s">
        <v>9</v>
      </c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4"/>
      <c r="T102" s="14"/>
      <c r="U102" s="14"/>
      <c r="V102" s="14"/>
      <c r="W102" s="14"/>
    </row>
    <row r="103" spans="2:23" x14ac:dyDescent="0.35">
      <c r="B103" s="14" t="s">
        <v>10</v>
      </c>
      <c r="C103" s="17">
        <v>48222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7"/>
      <c r="O103" s="16"/>
      <c r="P103" s="16"/>
      <c r="Q103" s="16"/>
      <c r="R103" s="16"/>
      <c r="S103" s="14"/>
      <c r="T103" s="14"/>
      <c r="U103" s="14"/>
      <c r="V103" s="14"/>
      <c r="W103" s="14"/>
    </row>
    <row r="104" spans="2:23" x14ac:dyDescent="0.35">
      <c r="B104" s="14" t="s">
        <v>11</v>
      </c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/>
      <c r="R104" s="16"/>
      <c r="S104" s="14"/>
      <c r="T104" s="14"/>
      <c r="U104" s="14"/>
      <c r="V104" s="14"/>
      <c r="W104" s="14"/>
    </row>
    <row r="105" spans="2:23" x14ac:dyDescent="0.35">
      <c r="B105" s="14" t="s">
        <v>34</v>
      </c>
      <c r="C105" s="16"/>
      <c r="D105" s="17"/>
      <c r="E105" s="16"/>
      <c r="F105" s="16"/>
      <c r="G105" s="16"/>
      <c r="H105" s="17"/>
      <c r="I105" s="16"/>
      <c r="J105" s="16"/>
      <c r="K105" s="16"/>
      <c r="L105" s="16"/>
      <c r="M105" s="16"/>
      <c r="N105" s="16"/>
      <c r="O105" s="16"/>
      <c r="P105" s="16"/>
      <c r="Q105" s="16"/>
      <c r="R105" s="17"/>
      <c r="S105" s="16"/>
      <c r="T105" s="16"/>
      <c r="U105" s="16"/>
      <c r="V105" s="16"/>
      <c r="W105" s="16"/>
    </row>
    <row r="106" spans="2:23" x14ac:dyDescent="0.35">
      <c r="B106" s="14" t="s">
        <v>13</v>
      </c>
      <c r="C106" s="16"/>
      <c r="D106" s="16"/>
      <c r="E106" s="16"/>
      <c r="F106" s="17"/>
      <c r="G106" s="16"/>
      <c r="H106" s="17">
        <v>74816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4"/>
      <c r="T106" s="14"/>
      <c r="U106" s="14"/>
      <c r="V106" s="14"/>
      <c r="W106" s="14"/>
    </row>
    <row r="107" spans="2:23" x14ac:dyDescent="0.35">
      <c r="B107" s="14" t="s">
        <v>14</v>
      </c>
      <c r="C107" s="16"/>
      <c r="D107" s="16"/>
      <c r="E107" s="17"/>
      <c r="F107" s="16"/>
      <c r="G107" s="16"/>
      <c r="H107" s="16"/>
      <c r="I107" s="16"/>
      <c r="J107" s="17"/>
      <c r="K107" s="16"/>
      <c r="L107" s="16"/>
      <c r="M107" s="16"/>
      <c r="N107" s="16"/>
      <c r="O107" s="16"/>
      <c r="P107" s="16"/>
      <c r="Q107" s="16"/>
      <c r="R107" s="16"/>
      <c r="S107" s="14"/>
      <c r="T107" s="14"/>
      <c r="U107" s="14"/>
      <c r="V107" s="14"/>
      <c r="W107" s="14"/>
    </row>
    <row r="108" spans="2:23" x14ac:dyDescent="0.35">
      <c r="B108" s="14" t="s">
        <v>15</v>
      </c>
      <c r="C108" s="16"/>
      <c r="D108" s="16"/>
      <c r="E108" s="16"/>
      <c r="F108" s="16"/>
      <c r="G108" s="17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4"/>
      <c r="T108" s="14"/>
      <c r="U108" s="14"/>
      <c r="V108" s="14"/>
      <c r="W108" s="14"/>
    </row>
    <row r="109" spans="2:23" x14ac:dyDescent="0.35">
      <c r="B109" s="14" t="s">
        <v>42</v>
      </c>
      <c r="C109" s="16"/>
      <c r="D109" s="16"/>
      <c r="E109" s="16"/>
      <c r="F109" s="16"/>
      <c r="G109" s="16"/>
      <c r="H109" s="20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2:23" x14ac:dyDescent="0.35">
      <c r="B110" s="14" t="s">
        <v>43</v>
      </c>
      <c r="C110" s="17"/>
      <c r="D110" s="16"/>
      <c r="E110" s="16"/>
      <c r="F110" s="16"/>
      <c r="G110" s="17"/>
      <c r="H110" s="17"/>
      <c r="I110" s="16"/>
      <c r="J110" s="16"/>
      <c r="K110" s="17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2:23" x14ac:dyDescent="0.35">
      <c r="B111" s="14" t="s">
        <v>44</v>
      </c>
      <c r="C111" s="16"/>
      <c r="D111" s="17"/>
      <c r="E111" s="16"/>
      <c r="F111" s="16"/>
      <c r="G111" s="17"/>
      <c r="H111" s="16"/>
      <c r="I111" s="16"/>
      <c r="J111" s="16"/>
      <c r="K111" s="16"/>
      <c r="L111" s="17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2:23" x14ac:dyDescent="0.35">
      <c r="B112" s="14" t="s">
        <v>26</v>
      </c>
      <c r="C112" s="16"/>
      <c r="D112" s="16"/>
      <c r="E112" s="14"/>
      <c r="F112" s="16"/>
      <c r="G112" s="16"/>
      <c r="H112" s="16"/>
      <c r="I112" s="17"/>
      <c r="J112" s="14"/>
      <c r="K112" s="17">
        <v>12828</v>
      </c>
      <c r="L112" s="16"/>
      <c r="M112" s="14"/>
      <c r="N112" s="14"/>
      <c r="O112" s="14"/>
      <c r="P112" s="16"/>
      <c r="Q112" s="16"/>
      <c r="R112" s="16"/>
      <c r="S112" s="16"/>
      <c r="T112" s="16"/>
      <c r="U112" s="16"/>
      <c r="V112" s="16"/>
      <c r="W112" s="16"/>
    </row>
    <row r="113" spans="2:23" x14ac:dyDescent="0.35">
      <c r="B113" s="14" t="s">
        <v>27</v>
      </c>
      <c r="C113" s="16"/>
      <c r="D113" s="16"/>
      <c r="E113" s="14"/>
      <c r="F113" s="16"/>
      <c r="G113" s="16"/>
      <c r="H113" s="16"/>
      <c r="I113" s="14"/>
      <c r="J113" s="14"/>
      <c r="K113" s="14"/>
      <c r="L113" s="16"/>
      <c r="M113" s="14"/>
      <c r="N113" s="14"/>
      <c r="O113" s="17">
        <v>597</v>
      </c>
      <c r="P113" s="16"/>
      <c r="Q113" s="16"/>
      <c r="R113" s="16"/>
      <c r="S113" s="16"/>
      <c r="T113" s="16"/>
      <c r="U113" s="16"/>
      <c r="V113" s="16"/>
      <c r="W113" s="16"/>
    </row>
    <row r="114" spans="2:23" x14ac:dyDescent="0.35">
      <c r="B114" s="14" t="s">
        <v>29</v>
      </c>
      <c r="C114" s="16"/>
      <c r="D114" s="16"/>
      <c r="E114" s="17"/>
      <c r="F114" s="16"/>
      <c r="G114" s="16"/>
      <c r="H114" s="16"/>
      <c r="I114" s="17"/>
      <c r="J114" s="17">
        <v>48222</v>
      </c>
      <c r="K114" s="17">
        <v>15520</v>
      </c>
      <c r="L114" s="16"/>
      <c r="M114" s="14"/>
      <c r="N114" s="17"/>
      <c r="O114" s="14"/>
      <c r="P114" s="16"/>
      <c r="Q114" s="16"/>
      <c r="R114" s="16"/>
      <c r="S114" s="16"/>
      <c r="T114" s="16"/>
      <c r="U114" s="16"/>
      <c r="V114" s="16"/>
      <c r="W114" s="16"/>
    </row>
    <row r="115" spans="2:23" x14ac:dyDescent="0.35">
      <c r="B115" s="14" t="s">
        <v>32</v>
      </c>
      <c r="C115" s="16"/>
      <c r="D115" s="16"/>
      <c r="E115" s="17"/>
      <c r="F115" s="16"/>
      <c r="G115" s="16"/>
      <c r="H115" s="16"/>
      <c r="I115" s="17"/>
      <c r="J115" s="17"/>
      <c r="K115" s="14"/>
      <c r="L115" s="16"/>
      <c r="M115" s="17">
        <v>73782</v>
      </c>
      <c r="N115" s="14"/>
      <c r="O115" s="14"/>
      <c r="P115" s="16"/>
      <c r="Q115" s="16"/>
      <c r="R115" s="16"/>
      <c r="S115" s="16"/>
      <c r="T115" s="16"/>
      <c r="U115" s="16"/>
      <c r="V115" s="16"/>
      <c r="W115" s="16"/>
    </row>
    <row r="116" spans="2:23" x14ac:dyDescent="0.35">
      <c r="B116" s="14" t="s">
        <v>45</v>
      </c>
      <c r="C116" s="16"/>
      <c r="D116" s="16"/>
      <c r="E116" s="14"/>
      <c r="F116" s="16"/>
      <c r="G116" s="16"/>
      <c r="H116" s="16"/>
      <c r="I116" s="14"/>
      <c r="J116" s="17"/>
      <c r="K116" s="14"/>
      <c r="L116" s="16"/>
      <c r="M116" s="17">
        <v>1034</v>
      </c>
      <c r="N116" s="17"/>
      <c r="O116" s="14"/>
      <c r="P116" s="16"/>
      <c r="Q116" s="16"/>
      <c r="R116" s="16"/>
      <c r="S116" s="16"/>
      <c r="T116" s="16"/>
      <c r="U116" s="16"/>
      <c r="V116" s="16"/>
      <c r="W116" s="16"/>
    </row>
    <row r="118" spans="2:23" x14ac:dyDescent="0.35">
      <c r="B118" s="14">
        <v>6</v>
      </c>
      <c r="C118" s="14" t="s">
        <v>5</v>
      </c>
      <c r="D118" s="14" t="s">
        <v>17</v>
      </c>
      <c r="E118" s="14" t="s">
        <v>6</v>
      </c>
      <c r="F118" s="14" t="s">
        <v>19</v>
      </c>
      <c r="G118" s="14" t="s">
        <v>23</v>
      </c>
      <c r="H118" s="14" t="s">
        <v>24</v>
      </c>
      <c r="I118" s="14" t="s">
        <v>9</v>
      </c>
      <c r="J118" s="14" t="s">
        <v>10</v>
      </c>
      <c r="K118" s="14" t="s">
        <v>11</v>
      </c>
      <c r="L118" s="14" t="s">
        <v>34</v>
      </c>
      <c r="M118" s="14" t="s">
        <v>13</v>
      </c>
      <c r="N118" s="14" t="s">
        <v>14</v>
      </c>
      <c r="O118" s="14" t="s">
        <v>15</v>
      </c>
      <c r="P118" s="14" t="s">
        <v>42</v>
      </c>
      <c r="Q118" s="14" t="s">
        <v>43</v>
      </c>
      <c r="R118" s="14" t="s">
        <v>44</v>
      </c>
      <c r="S118" s="14" t="s">
        <v>26</v>
      </c>
      <c r="T118" s="14" t="s">
        <v>27</v>
      </c>
      <c r="U118" s="14" t="s">
        <v>29</v>
      </c>
      <c r="V118" s="14" t="s">
        <v>32</v>
      </c>
      <c r="W118" s="14" t="s">
        <v>45</v>
      </c>
    </row>
    <row r="119" spans="2:23" x14ac:dyDescent="0.35">
      <c r="B119" s="14" t="s">
        <v>5</v>
      </c>
      <c r="C119" s="16"/>
      <c r="D119" s="16"/>
      <c r="E119" s="16"/>
      <c r="F119" s="17"/>
      <c r="G119" s="16"/>
      <c r="H119" s="17">
        <v>36164</v>
      </c>
      <c r="I119" s="16"/>
      <c r="J119" s="17"/>
      <c r="K119" s="17"/>
      <c r="L119" s="16"/>
      <c r="M119" s="16"/>
      <c r="N119" s="16"/>
      <c r="O119" s="16"/>
      <c r="P119" s="16"/>
      <c r="Q119" s="17">
        <v>27578</v>
      </c>
      <c r="R119" s="16"/>
      <c r="S119" s="16"/>
      <c r="T119" s="16"/>
      <c r="U119" s="16"/>
      <c r="V119" s="16"/>
      <c r="W119" s="16"/>
    </row>
    <row r="120" spans="2:23" x14ac:dyDescent="0.35">
      <c r="B120" s="14" t="s">
        <v>17</v>
      </c>
      <c r="C120" s="16"/>
      <c r="D120" s="16"/>
      <c r="E120" s="16"/>
      <c r="F120" s="16"/>
      <c r="G120" s="17"/>
      <c r="H120" s="17"/>
      <c r="I120" s="16"/>
      <c r="J120" s="16"/>
      <c r="K120" s="16"/>
      <c r="L120" s="17"/>
      <c r="M120" s="16"/>
      <c r="N120" s="16"/>
      <c r="O120" s="16"/>
      <c r="P120" s="16"/>
      <c r="Q120" s="16"/>
      <c r="R120" s="17"/>
      <c r="S120" s="16"/>
      <c r="T120" s="16"/>
      <c r="U120" s="16"/>
      <c r="V120" s="16"/>
      <c r="W120" s="16"/>
    </row>
    <row r="121" spans="2:23" x14ac:dyDescent="0.35">
      <c r="B121" s="14" t="s">
        <v>6</v>
      </c>
      <c r="C121" s="16"/>
      <c r="D121" s="16"/>
      <c r="E121" s="16"/>
      <c r="F121" s="16"/>
      <c r="G121" s="16"/>
      <c r="H121" s="16"/>
      <c r="I121" s="17"/>
      <c r="J121" s="16"/>
      <c r="K121" s="16"/>
      <c r="L121" s="16"/>
      <c r="M121" s="16"/>
      <c r="N121" s="17"/>
      <c r="O121" s="16"/>
      <c r="P121" s="16"/>
      <c r="Q121" s="16"/>
      <c r="R121" s="16"/>
      <c r="S121" s="14"/>
      <c r="T121" s="14"/>
      <c r="U121" s="14"/>
      <c r="V121" s="14"/>
      <c r="W121" s="14"/>
    </row>
    <row r="122" spans="2:23" x14ac:dyDescent="0.35">
      <c r="B122" s="14" t="s">
        <v>19</v>
      </c>
      <c r="C122" s="17"/>
      <c r="D122" s="16"/>
      <c r="E122" s="16"/>
      <c r="F122" s="16"/>
      <c r="G122" s="16"/>
      <c r="H122" s="17"/>
      <c r="I122" s="16"/>
      <c r="J122" s="16"/>
      <c r="K122" s="16"/>
      <c r="L122" s="16"/>
      <c r="M122" s="17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spans="2:23" x14ac:dyDescent="0.35">
      <c r="B123" s="14" t="s">
        <v>23</v>
      </c>
      <c r="C123" s="16"/>
      <c r="D123" s="17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7"/>
      <c r="P123" s="16"/>
      <c r="Q123" s="17"/>
      <c r="R123" s="17"/>
      <c r="S123" s="16"/>
      <c r="T123" s="16"/>
      <c r="U123" s="16"/>
      <c r="V123" s="16"/>
      <c r="W123" s="16"/>
    </row>
    <row r="124" spans="2:23" x14ac:dyDescent="0.35">
      <c r="B124" s="14" t="s">
        <v>24</v>
      </c>
      <c r="C124" s="17"/>
      <c r="D124" s="17"/>
      <c r="E124" s="16"/>
      <c r="F124" s="17"/>
      <c r="G124" s="16"/>
      <c r="H124" s="16"/>
      <c r="I124" s="16"/>
      <c r="J124" s="16"/>
      <c r="K124" s="16"/>
      <c r="L124" s="17"/>
      <c r="M124" s="17"/>
      <c r="N124" s="16"/>
      <c r="O124" s="16"/>
      <c r="P124" s="20"/>
      <c r="Q124" s="17"/>
      <c r="R124" s="16"/>
      <c r="S124" s="16"/>
      <c r="T124" s="16"/>
      <c r="U124" s="16"/>
      <c r="V124" s="16"/>
      <c r="W124" s="16"/>
    </row>
    <row r="125" spans="2:23" x14ac:dyDescent="0.35">
      <c r="B125" s="14" t="s">
        <v>9</v>
      </c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4"/>
      <c r="T125" s="14"/>
      <c r="U125" s="14"/>
      <c r="V125" s="14"/>
      <c r="W125" s="14"/>
    </row>
    <row r="126" spans="2:23" x14ac:dyDescent="0.35">
      <c r="B126" s="14" t="s">
        <v>10</v>
      </c>
      <c r="C126" s="17">
        <v>63742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7"/>
      <c r="O126" s="16"/>
      <c r="P126" s="16"/>
      <c r="Q126" s="16"/>
      <c r="R126" s="16"/>
      <c r="S126" s="14"/>
      <c r="T126" s="14"/>
      <c r="U126" s="14"/>
      <c r="V126" s="14"/>
      <c r="W126" s="14"/>
    </row>
    <row r="127" spans="2:23" x14ac:dyDescent="0.35">
      <c r="B127" s="14" t="s">
        <v>11</v>
      </c>
      <c r="C127" s="17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7">
        <v>12828</v>
      </c>
      <c r="R127" s="16"/>
      <c r="S127" s="14"/>
      <c r="T127" s="14"/>
      <c r="U127" s="14"/>
      <c r="V127" s="14"/>
      <c r="W127" s="14"/>
    </row>
    <row r="128" spans="2:23" x14ac:dyDescent="0.35">
      <c r="B128" s="14" t="s">
        <v>34</v>
      </c>
      <c r="C128" s="16"/>
      <c r="D128" s="17"/>
      <c r="E128" s="16"/>
      <c r="F128" s="16"/>
      <c r="G128" s="16"/>
      <c r="H128" s="17"/>
      <c r="I128" s="16"/>
      <c r="J128" s="16"/>
      <c r="K128" s="16"/>
      <c r="L128" s="16"/>
      <c r="M128" s="16"/>
      <c r="N128" s="16"/>
      <c r="O128" s="16"/>
      <c r="P128" s="16"/>
      <c r="Q128" s="16"/>
      <c r="R128" s="17"/>
      <c r="S128" s="16"/>
      <c r="T128" s="16"/>
      <c r="U128" s="16"/>
      <c r="V128" s="16"/>
      <c r="W128" s="16"/>
    </row>
    <row r="129" spans="2:23" x14ac:dyDescent="0.35">
      <c r="B129" s="14" t="s">
        <v>13</v>
      </c>
      <c r="C129" s="16"/>
      <c r="D129" s="16"/>
      <c r="E129" s="16"/>
      <c r="F129" s="17"/>
      <c r="G129" s="16"/>
      <c r="H129" s="17">
        <v>74816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4"/>
      <c r="T129" s="14"/>
      <c r="U129" s="14"/>
      <c r="V129" s="14"/>
      <c r="W129" s="14"/>
    </row>
    <row r="130" spans="2:23" x14ac:dyDescent="0.35">
      <c r="B130" s="14" t="s">
        <v>14</v>
      </c>
      <c r="C130" s="16"/>
      <c r="D130" s="16"/>
      <c r="E130" s="17"/>
      <c r="F130" s="16"/>
      <c r="G130" s="16"/>
      <c r="H130" s="16"/>
      <c r="I130" s="16"/>
      <c r="J130" s="17"/>
      <c r="K130" s="16"/>
      <c r="L130" s="16"/>
      <c r="M130" s="16"/>
      <c r="N130" s="16"/>
      <c r="O130" s="16"/>
      <c r="P130" s="16"/>
      <c r="Q130" s="16"/>
      <c r="R130" s="16"/>
      <c r="S130" s="14"/>
      <c r="T130" s="14"/>
      <c r="U130" s="14"/>
      <c r="V130" s="14"/>
      <c r="W130" s="14"/>
    </row>
    <row r="131" spans="2:23" x14ac:dyDescent="0.35">
      <c r="B131" s="14" t="s">
        <v>15</v>
      </c>
      <c r="C131" s="16"/>
      <c r="D131" s="16"/>
      <c r="E131" s="16"/>
      <c r="F131" s="16"/>
      <c r="G131" s="17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4"/>
      <c r="T131" s="14"/>
      <c r="U131" s="14"/>
      <c r="V131" s="14"/>
      <c r="W131" s="14"/>
    </row>
    <row r="132" spans="2:23" x14ac:dyDescent="0.35">
      <c r="B132" s="14" t="s">
        <v>42</v>
      </c>
      <c r="C132" s="16"/>
      <c r="D132" s="16"/>
      <c r="E132" s="16"/>
      <c r="F132" s="16"/>
      <c r="G132" s="16"/>
      <c r="H132" s="20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spans="2:23" x14ac:dyDescent="0.35">
      <c r="B133" s="14" t="s">
        <v>43</v>
      </c>
      <c r="C133" s="17"/>
      <c r="D133" s="16"/>
      <c r="E133" s="16"/>
      <c r="F133" s="16"/>
      <c r="G133" s="17"/>
      <c r="H133" s="17"/>
      <c r="I133" s="16"/>
      <c r="J133" s="16"/>
      <c r="K133" s="17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spans="2:23" x14ac:dyDescent="0.35">
      <c r="B134" s="14" t="s">
        <v>44</v>
      </c>
      <c r="C134" s="16"/>
      <c r="D134" s="17"/>
      <c r="E134" s="16"/>
      <c r="F134" s="16"/>
      <c r="G134" s="17"/>
      <c r="H134" s="16"/>
      <c r="I134" s="16"/>
      <c r="J134" s="16"/>
      <c r="K134" s="16"/>
      <c r="L134" s="17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spans="2:23" x14ac:dyDescent="0.35">
      <c r="B135" s="14" t="s">
        <v>26</v>
      </c>
      <c r="C135" s="16"/>
      <c r="D135" s="16"/>
      <c r="E135" s="14"/>
      <c r="F135" s="16"/>
      <c r="G135" s="16"/>
      <c r="H135" s="16"/>
      <c r="I135" s="17"/>
      <c r="J135" s="14"/>
      <c r="K135" s="17">
        <v>12828</v>
      </c>
      <c r="L135" s="16"/>
      <c r="M135" s="14"/>
      <c r="N135" s="14"/>
      <c r="O135" s="14"/>
      <c r="P135" s="16"/>
      <c r="Q135" s="16"/>
      <c r="R135" s="16"/>
      <c r="S135" s="16"/>
      <c r="T135" s="16"/>
      <c r="U135" s="16"/>
      <c r="V135" s="16"/>
      <c r="W135" s="16"/>
    </row>
    <row r="136" spans="2:23" x14ac:dyDescent="0.35">
      <c r="B136" s="14" t="s">
        <v>27</v>
      </c>
      <c r="C136" s="16"/>
      <c r="D136" s="16"/>
      <c r="E136" s="14"/>
      <c r="F136" s="16"/>
      <c r="G136" s="16"/>
      <c r="H136" s="16"/>
      <c r="I136" s="14"/>
      <c r="J136" s="14"/>
      <c r="K136" s="14"/>
      <c r="L136" s="16"/>
      <c r="M136" s="14"/>
      <c r="N136" s="14"/>
      <c r="O136" s="17">
        <v>597</v>
      </c>
      <c r="P136" s="16"/>
      <c r="Q136" s="16"/>
      <c r="R136" s="16"/>
      <c r="S136" s="16"/>
      <c r="T136" s="16"/>
      <c r="U136" s="16"/>
      <c r="V136" s="16"/>
      <c r="W136" s="16"/>
    </row>
    <row r="137" spans="2:23" x14ac:dyDescent="0.35">
      <c r="B137" s="14" t="s">
        <v>29</v>
      </c>
      <c r="C137" s="16"/>
      <c r="D137" s="16"/>
      <c r="E137" s="17"/>
      <c r="F137" s="16"/>
      <c r="G137" s="16"/>
      <c r="H137" s="16"/>
      <c r="I137" s="17"/>
      <c r="J137" s="17">
        <v>63742</v>
      </c>
      <c r="K137" s="17"/>
      <c r="L137" s="16"/>
      <c r="M137" s="14"/>
      <c r="N137" s="17"/>
      <c r="O137" s="14"/>
      <c r="P137" s="16"/>
      <c r="Q137" s="16"/>
      <c r="R137" s="16"/>
      <c r="S137" s="16"/>
      <c r="T137" s="16"/>
      <c r="U137" s="16"/>
      <c r="V137" s="16"/>
      <c r="W137" s="16"/>
    </row>
    <row r="138" spans="2:23" x14ac:dyDescent="0.35">
      <c r="B138" s="14" t="s">
        <v>32</v>
      </c>
      <c r="C138" s="16"/>
      <c r="D138" s="16"/>
      <c r="E138" s="17"/>
      <c r="F138" s="16"/>
      <c r="G138" s="16"/>
      <c r="H138" s="16"/>
      <c r="I138" s="17"/>
      <c r="J138" s="17"/>
      <c r="K138" s="14"/>
      <c r="L138" s="16"/>
      <c r="M138" s="17">
        <v>73782</v>
      </c>
      <c r="N138" s="14"/>
      <c r="O138" s="14"/>
      <c r="P138" s="16"/>
      <c r="Q138" s="16"/>
      <c r="R138" s="16"/>
      <c r="S138" s="16"/>
      <c r="T138" s="16"/>
      <c r="U138" s="16"/>
      <c r="V138" s="16"/>
      <c r="W138" s="16"/>
    </row>
    <row r="139" spans="2:23" x14ac:dyDescent="0.35">
      <c r="B139" s="14" t="s">
        <v>45</v>
      </c>
      <c r="C139" s="16"/>
      <c r="D139" s="16"/>
      <c r="E139" s="14"/>
      <c r="F139" s="16"/>
      <c r="G139" s="16"/>
      <c r="H139" s="16"/>
      <c r="I139" s="14"/>
      <c r="J139" s="17"/>
      <c r="K139" s="14"/>
      <c r="L139" s="16"/>
      <c r="M139" s="17">
        <v>1034</v>
      </c>
      <c r="N139" s="17"/>
      <c r="O139" s="14"/>
      <c r="P139" s="16"/>
      <c r="Q139" s="16"/>
      <c r="R139" s="16"/>
      <c r="S139" s="16"/>
      <c r="T139" s="16"/>
      <c r="U139" s="16"/>
      <c r="V139" s="16"/>
      <c r="W139" s="16"/>
    </row>
    <row r="141" spans="2:23" x14ac:dyDescent="0.35">
      <c r="B141" s="14">
        <v>7</v>
      </c>
      <c r="C141" s="14" t="s">
        <v>5</v>
      </c>
      <c r="D141" s="14" t="s">
        <v>17</v>
      </c>
      <c r="E141" s="14" t="s">
        <v>6</v>
      </c>
      <c r="F141" s="14" t="s">
        <v>19</v>
      </c>
      <c r="G141" s="14" t="s">
        <v>23</v>
      </c>
      <c r="H141" s="14" t="s">
        <v>24</v>
      </c>
      <c r="I141" s="14" t="s">
        <v>9</v>
      </c>
      <c r="J141" s="14" t="s">
        <v>10</v>
      </c>
      <c r="K141" s="14" t="s">
        <v>11</v>
      </c>
      <c r="L141" s="14" t="s">
        <v>34</v>
      </c>
      <c r="M141" s="14" t="s">
        <v>13</v>
      </c>
      <c r="N141" s="14" t="s">
        <v>14</v>
      </c>
      <c r="O141" s="14" t="s">
        <v>15</v>
      </c>
      <c r="P141" s="14" t="s">
        <v>42</v>
      </c>
      <c r="Q141" s="14" t="s">
        <v>43</v>
      </c>
      <c r="R141" s="14" t="s">
        <v>44</v>
      </c>
      <c r="S141" s="14" t="s">
        <v>26</v>
      </c>
      <c r="T141" s="14" t="s">
        <v>27</v>
      </c>
      <c r="U141" s="14" t="s">
        <v>29</v>
      </c>
      <c r="V141" s="14" t="s">
        <v>32</v>
      </c>
      <c r="W141" s="14" t="s">
        <v>45</v>
      </c>
    </row>
    <row r="142" spans="2:23" x14ac:dyDescent="0.35">
      <c r="B142" s="14" t="s">
        <v>5</v>
      </c>
      <c r="C142" s="16"/>
      <c r="D142" s="16"/>
      <c r="E142" s="16"/>
      <c r="F142" s="17"/>
      <c r="G142" s="16"/>
      <c r="H142" s="17">
        <v>58963</v>
      </c>
      <c r="I142" s="16"/>
      <c r="J142" s="17"/>
      <c r="K142" s="17"/>
      <c r="L142" s="16"/>
      <c r="M142" s="16"/>
      <c r="N142" s="16"/>
      <c r="O142" s="16"/>
      <c r="P142" s="16"/>
      <c r="Q142" s="17">
        <v>4779</v>
      </c>
      <c r="R142" s="16"/>
      <c r="S142" s="16"/>
      <c r="T142" s="16"/>
      <c r="U142" s="16"/>
      <c r="V142" s="16"/>
      <c r="W142" s="16"/>
    </row>
    <row r="143" spans="2:23" x14ac:dyDescent="0.35">
      <c r="B143" s="14" t="s">
        <v>17</v>
      </c>
      <c r="C143" s="16"/>
      <c r="D143" s="16"/>
      <c r="E143" s="16"/>
      <c r="F143" s="16"/>
      <c r="G143" s="17"/>
      <c r="H143" s="17"/>
      <c r="I143" s="16"/>
      <c r="J143" s="16"/>
      <c r="K143" s="16"/>
      <c r="L143" s="17"/>
      <c r="M143" s="16"/>
      <c r="N143" s="16"/>
      <c r="O143" s="16"/>
      <c r="P143" s="16"/>
      <c r="Q143" s="16"/>
      <c r="R143" s="17"/>
      <c r="S143" s="16"/>
      <c r="T143" s="16"/>
      <c r="U143" s="16"/>
      <c r="V143" s="16"/>
      <c r="W143" s="16"/>
    </row>
    <row r="144" spans="2:23" x14ac:dyDescent="0.35">
      <c r="B144" s="14" t="s">
        <v>6</v>
      </c>
      <c r="C144" s="16"/>
      <c r="D144" s="16"/>
      <c r="E144" s="16"/>
      <c r="F144" s="16"/>
      <c r="G144" s="16"/>
      <c r="H144" s="16"/>
      <c r="I144" s="17"/>
      <c r="J144" s="16"/>
      <c r="K144" s="16"/>
      <c r="L144" s="16"/>
      <c r="M144" s="16"/>
      <c r="N144" s="17"/>
      <c r="O144" s="16"/>
      <c r="P144" s="16"/>
      <c r="Q144" s="16"/>
      <c r="R144" s="16"/>
      <c r="S144" s="14"/>
      <c r="T144" s="14"/>
      <c r="U144" s="14"/>
      <c r="V144" s="14"/>
      <c r="W144" s="14"/>
    </row>
    <row r="145" spans="2:23" x14ac:dyDescent="0.35">
      <c r="B145" s="14" t="s">
        <v>19</v>
      </c>
      <c r="C145" s="17"/>
      <c r="D145" s="16"/>
      <c r="E145" s="16"/>
      <c r="F145" s="16"/>
      <c r="G145" s="16"/>
      <c r="H145" s="17"/>
      <c r="I145" s="16"/>
      <c r="J145" s="16"/>
      <c r="K145" s="16"/>
      <c r="L145" s="16"/>
      <c r="M145" s="17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spans="2:23" x14ac:dyDescent="0.35">
      <c r="B146" s="14" t="s">
        <v>23</v>
      </c>
      <c r="C146" s="16"/>
      <c r="D146" s="17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7"/>
      <c r="P146" s="16"/>
      <c r="Q146" s="17"/>
      <c r="R146" s="17"/>
      <c r="S146" s="16"/>
      <c r="T146" s="16"/>
      <c r="U146" s="16"/>
      <c r="V146" s="16"/>
      <c r="W146" s="16"/>
    </row>
    <row r="147" spans="2:23" x14ac:dyDescent="0.35">
      <c r="B147" s="14" t="s">
        <v>24</v>
      </c>
      <c r="C147" s="17"/>
      <c r="D147" s="17">
        <v>47267</v>
      </c>
      <c r="E147" s="16"/>
      <c r="F147" s="17"/>
      <c r="G147" s="16"/>
      <c r="H147" s="16"/>
      <c r="I147" s="16"/>
      <c r="J147" s="16"/>
      <c r="K147" s="16"/>
      <c r="L147" s="17">
        <v>86512</v>
      </c>
      <c r="M147" s="17"/>
      <c r="N147" s="16"/>
      <c r="O147" s="16"/>
      <c r="P147" s="20"/>
      <c r="Q147" s="17"/>
      <c r="R147" s="16"/>
      <c r="S147" s="16"/>
      <c r="T147" s="16"/>
      <c r="U147" s="16"/>
      <c r="V147" s="16"/>
      <c r="W147" s="16"/>
    </row>
    <row r="148" spans="2:23" x14ac:dyDescent="0.35">
      <c r="B148" s="14" t="s">
        <v>9</v>
      </c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4"/>
      <c r="T148" s="14"/>
      <c r="U148" s="14"/>
      <c r="V148" s="14"/>
      <c r="W148" s="14"/>
    </row>
    <row r="149" spans="2:23" x14ac:dyDescent="0.35">
      <c r="B149" s="14" t="s">
        <v>10</v>
      </c>
      <c r="C149" s="17">
        <v>63742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7"/>
      <c r="O149" s="16"/>
      <c r="P149" s="16"/>
      <c r="Q149" s="16"/>
      <c r="R149" s="16"/>
      <c r="S149" s="14"/>
      <c r="T149" s="14"/>
      <c r="U149" s="14"/>
      <c r="V149" s="14"/>
      <c r="W149" s="14"/>
    </row>
    <row r="150" spans="2:23" x14ac:dyDescent="0.35">
      <c r="B150" s="14" t="s">
        <v>11</v>
      </c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7">
        <v>12828</v>
      </c>
      <c r="R150" s="16"/>
      <c r="S150" s="14"/>
      <c r="T150" s="14"/>
      <c r="U150" s="14"/>
      <c r="V150" s="14"/>
      <c r="W150" s="14"/>
    </row>
    <row r="151" spans="2:23" x14ac:dyDescent="0.35">
      <c r="B151" s="14" t="s">
        <v>34</v>
      </c>
      <c r="C151" s="16"/>
      <c r="D151" s="17"/>
      <c r="E151" s="16"/>
      <c r="F151" s="16"/>
      <c r="G151" s="16"/>
      <c r="H151" s="17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s="16"/>
      <c r="T151" s="16"/>
      <c r="U151" s="16"/>
      <c r="V151" s="16"/>
      <c r="W151" s="16"/>
    </row>
    <row r="152" spans="2:23" x14ac:dyDescent="0.35">
      <c r="B152" s="14" t="s">
        <v>13</v>
      </c>
      <c r="C152" s="16"/>
      <c r="D152" s="16"/>
      <c r="E152" s="16"/>
      <c r="F152" s="17"/>
      <c r="G152" s="16"/>
      <c r="H152" s="17">
        <v>74816</v>
      </c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4"/>
      <c r="T152" s="14"/>
      <c r="U152" s="14"/>
      <c r="V152" s="14"/>
      <c r="W152" s="14"/>
    </row>
    <row r="153" spans="2:23" x14ac:dyDescent="0.35">
      <c r="B153" s="14" t="s">
        <v>14</v>
      </c>
      <c r="C153" s="16"/>
      <c r="D153" s="16"/>
      <c r="E153" s="17"/>
      <c r="F153" s="16"/>
      <c r="G153" s="16"/>
      <c r="H153" s="16"/>
      <c r="I153" s="16"/>
      <c r="J153" s="17"/>
      <c r="K153" s="16"/>
      <c r="L153" s="16"/>
      <c r="M153" s="16"/>
      <c r="N153" s="16"/>
      <c r="O153" s="16"/>
      <c r="P153" s="16"/>
      <c r="Q153" s="16"/>
      <c r="R153" s="16"/>
      <c r="S153" s="14"/>
      <c r="T153" s="14"/>
      <c r="U153" s="14"/>
      <c r="V153" s="14"/>
      <c r="W153" s="14"/>
    </row>
    <row r="154" spans="2:23" x14ac:dyDescent="0.35">
      <c r="B154" s="14" t="s">
        <v>15</v>
      </c>
      <c r="C154" s="16"/>
      <c r="D154" s="16"/>
      <c r="E154" s="16"/>
      <c r="F154" s="16"/>
      <c r="G154" s="17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4"/>
      <c r="T154" s="14"/>
      <c r="U154" s="14"/>
      <c r="V154" s="14"/>
      <c r="W154" s="14"/>
    </row>
    <row r="155" spans="2:23" x14ac:dyDescent="0.35">
      <c r="B155" s="14" t="s">
        <v>42</v>
      </c>
      <c r="C155" s="16"/>
      <c r="D155" s="16"/>
      <c r="E155" s="16"/>
      <c r="F155" s="16"/>
      <c r="G155" s="16"/>
      <c r="H155" s="20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spans="2:23" x14ac:dyDescent="0.35">
      <c r="B156" s="14" t="s">
        <v>43</v>
      </c>
      <c r="C156" s="17"/>
      <c r="D156" s="16"/>
      <c r="E156" s="16"/>
      <c r="F156" s="16"/>
      <c r="G156" s="17"/>
      <c r="H156" s="17"/>
      <c r="I156" s="16"/>
      <c r="J156" s="16"/>
      <c r="K156" s="17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spans="2:23" x14ac:dyDescent="0.35">
      <c r="B157" s="14" t="s">
        <v>44</v>
      </c>
      <c r="C157" s="16"/>
      <c r="D157" s="17"/>
      <c r="E157" s="16"/>
      <c r="F157" s="16"/>
      <c r="G157" s="17"/>
      <c r="H157" s="16"/>
      <c r="I157" s="16"/>
      <c r="J157" s="16"/>
      <c r="K157" s="16"/>
      <c r="L157" s="17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spans="2:23" x14ac:dyDescent="0.35">
      <c r="B158" s="14" t="s">
        <v>26</v>
      </c>
      <c r="C158" s="16"/>
      <c r="D158" s="16"/>
      <c r="E158" s="14"/>
      <c r="F158" s="16"/>
      <c r="G158" s="16"/>
      <c r="H158" s="16"/>
      <c r="I158" s="17"/>
      <c r="J158" s="14"/>
      <c r="K158" s="17">
        <v>12828</v>
      </c>
      <c r="L158" s="16"/>
      <c r="M158" s="14"/>
      <c r="N158" s="14"/>
      <c r="O158" s="14"/>
      <c r="P158" s="16"/>
      <c r="Q158" s="16"/>
      <c r="R158" s="16"/>
      <c r="S158" s="16"/>
      <c r="T158" s="16"/>
      <c r="U158" s="16"/>
      <c r="V158" s="16"/>
      <c r="W158" s="16"/>
    </row>
    <row r="159" spans="2:23" x14ac:dyDescent="0.35">
      <c r="B159" s="14" t="s">
        <v>27</v>
      </c>
      <c r="C159" s="16"/>
      <c r="D159" s="16"/>
      <c r="E159" s="14"/>
      <c r="F159" s="16"/>
      <c r="G159" s="16"/>
      <c r="H159" s="16"/>
      <c r="I159" s="14"/>
      <c r="J159" s="14"/>
      <c r="K159" s="14"/>
      <c r="L159" s="16"/>
      <c r="M159" s="14"/>
      <c r="N159" s="14"/>
      <c r="O159" s="17">
        <v>597</v>
      </c>
      <c r="P159" s="16"/>
      <c r="Q159" s="16"/>
      <c r="R159" s="16"/>
      <c r="S159" s="16"/>
      <c r="T159" s="16"/>
      <c r="U159" s="16"/>
      <c r="V159" s="16"/>
      <c r="W159" s="16"/>
    </row>
    <row r="160" spans="2:23" x14ac:dyDescent="0.35">
      <c r="B160" s="14" t="s">
        <v>29</v>
      </c>
      <c r="C160" s="16"/>
      <c r="D160" s="16"/>
      <c r="E160" s="17"/>
      <c r="F160" s="16"/>
      <c r="G160" s="16"/>
      <c r="H160" s="16"/>
      <c r="I160" s="17"/>
      <c r="J160" s="17">
        <v>63742</v>
      </c>
      <c r="K160" s="17"/>
      <c r="L160" s="16"/>
      <c r="M160" s="14"/>
      <c r="N160" s="17"/>
      <c r="O160" s="14"/>
      <c r="P160" s="16"/>
      <c r="Q160" s="16"/>
      <c r="R160" s="16"/>
      <c r="S160" s="16"/>
      <c r="T160" s="16"/>
      <c r="U160" s="16"/>
      <c r="V160" s="16"/>
      <c r="W160" s="16"/>
    </row>
    <row r="161" spans="2:23" x14ac:dyDescent="0.35">
      <c r="B161" s="14" t="s">
        <v>32</v>
      </c>
      <c r="C161" s="16"/>
      <c r="D161" s="16"/>
      <c r="E161" s="17"/>
      <c r="F161" s="16"/>
      <c r="G161" s="16"/>
      <c r="H161" s="16"/>
      <c r="I161" s="17"/>
      <c r="J161" s="17"/>
      <c r="K161" s="14"/>
      <c r="L161" s="16"/>
      <c r="M161" s="17">
        <v>73782</v>
      </c>
      <c r="N161" s="14"/>
      <c r="O161" s="14"/>
      <c r="P161" s="16"/>
      <c r="Q161" s="16"/>
      <c r="R161" s="16"/>
      <c r="S161" s="16"/>
      <c r="T161" s="16"/>
      <c r="U161" s="16"/>
      <c r="V161" s="16"/>
      <c r="W161" s="16"/>
    </row>
    <row r="162" spans="2:23" x14ac:dyDescent="0.35">
      <c r="B162" s="14" t="s">
        <v>45</v>
      </c>
      <c r="C162" s="16"/>
      <c r="D162" s="16"/>
      <c r="E162" s="14"/>
      <c r="F162" s="16"/>
      <c r="G162" s="16"/>
      <c r="H162" s="16"/>
      <c r="I162" s="14"/>
      <c r="J162" s="17"/>
      <c r="K162" s="14"/>
      <c r="L162" s="16"/>
      <c r="M162" s="17">
        <v>1034</v>
      </c>
      <c r="N162" s="17"/>
      <c r="O162" s="14"/>
      <c r="P162" s="16"/>
      <c r="Q162" s="16"/>
      <c r="R162" s="16"/>
      <c r="S162" s="16"/>
      <c r="T162" s="16"/>
      <c r="U162" s="16"/>
      <c r="V162" s="16"/>
      <c r="W162" s="16"/>
    </row>
    <row r="164" spans="2:23" x14ac:dyDescent="0.35">
      <c r="B164" s="14">
        <v>8</v>
      </c>
      <c r="C164" s="14" t="s">
        <v>5</v>
      </c>
      <c r="D164" s="14" t="s">
        <v>17</v>
      </c>
      <c r="E164" s="14" t="s">
        <v>6</v>
      </c>
      <c r="F164" s="14" t="s">
        <v>19</v>
      </c>
      <c r="G164" s="14" t="s">
        <v>23</v>
      </c>
      <c r="H164" s="14" t="s">
        <v>24</v>
      </c>
      <c r="I164" s="14" t="s">
        <v>9</v>
      </c>
      <c r="J164" s="14" t="s">
        <v>10</v>
      </c>
      <c r="K164" s="14" t="s">
        <v>11</v>
      </c>
      <c r="L164" s="14" t="s">
        <v>34</v>
      </c>
      <c r="M164" s="14" t="s">
        <v>13</v>
      </c>
      <c r="N164" s="14" t="s">
        <v>14</v>
      </c>
      <c r="O164" s="14" t="s">
        <v>15</v>
      </c>
      <c r="P164" s="14" t="s">
        <v>42</v>
      </c>
      <c r="Q164" s="14" t="s">
        <v>43</v>
      </c>
      <c r="R164" s="14" t="s">
        <v>44</v>
      </c>
      <c r="S164" s="14" t="s">
        <v>26</v>
      </c>
      <c r="T164" s="14" t="s">
        <v>27</v>
      </c>
      <c r="U164" s="14" t="s">
        <v>29</v>
      </c>
      <c r="V164" s="14" t="s">
        <v>32</v>
      </c>
      <c r="W164" s="14" t="s">
        <v>45</v>
      </c>
    </row>
    <row r="165" spans="2:23" x14ac:dyDescent="0.35">
      <c r="B165" s="14" t="s">
        <v>5</v>
      </c>
      <c r="C165" s="16"/>
      <c r="D165" s="16"/>
      <c r="E165" s="16"/>
      <c r="F165" s="17"/>
      <c r="G165" s="16"/>
      <c r="H165" s="17"/>
      <c r="I165" s="16"/>
      <c r="J165" s="17"/>
      <c r="K165" s="17"/>
      <c r="L165" s="16"/>
      <c r="M165" s="16"/>
      <c r="N165" s="16"/>
      <c r="O165" s="16"/>
      <c r="P165" s="16"/>
      <c r="Q165" s="17">
        <v>63742</v>
      </c>
      <c r="R165" s="16"/>
      <c r="S165" s="16"/>
      <c r="T165" s="16"/>
      <c r="U165" s="16"/>
      <c r="V165" s="16"/>
      <c r="W165" s="16"/>
    </row>
    <row r="166" spans="2:23" x14ac:dyDescent="0.35">
      <c r="B166" s="14" t="s">
        <v>17</v>
      </c>
      <c r="C166" s="16"/>
      <c r="D166" s="16"/>
      <c r="E166" s="16"/>
      <c r="F166" s="16"/>
      <c r="G166" s="17"/>
      <c r="H166" s="17"/>
      <c r="I166" s="16"/>
      <c r="J166" s="16"/>
      <c r="K166" s="16"/>
      <c r="L166" s="17"/>
      <c r="M166" s="16"/>
      <c r="N166" s="16"/>
      <c r="O166" s="16"/>
      <c r="P166" s="16"/>
      <c r="Q166" s="16"/>
      <c r="R166" s="17">
        <v>74689</v>
      </c>
      <c r="S166" s="16"/>
      <c r="T166" s="16"/>
      <c r="U166" s="16"/>
      <c r="V166" s="16"/>
      <c r="W166" s="16"/>
    </row>
    <row r="167" spans="2:23" x14ac:dyDescent="0.35">
      <c r="B167" s="14" t="s">
        <v>6</v>
      </c>
      <c r="C167" s="16"/>
      <c r="D167" s="16"/>
      <c r="E167" s="16"/>
      <c r="F167" s="16"/>
      <c r="G167" s="16"/>
      <c r="H167" s="16"/>
      <c r="I167" s="17"/>
      <c r="J167" s="16"/>
      <c r="K167" s="16"/>
      <c r="L167" s="16"/>
      <c r="M167" s="16"/>
      <c r="N167" s="17"/>
      <c r="O167" s="16"/>
      <c r="P167" s="16"/>
      <c r="Q167" s="16"/>
      <c r="R167" s="16"/>
      <c r="S167" s="14"/>
      <c r="T167" s="14"/>
      <c r="U167" s="14"/>
      <c r="V167" s="14"/>
      <c r="W167" s="14"/>
    </row>
    <row r="168" spans="2:23" x14ac:dyDescent="0.35">
      <c r="B168" s="14" t="s">
        <v>19</v>
      </c>
      <c r="C168" s="17"/>
      <c r="D168" s="16"/>
      <c r="E168" s="16"/>
      <c r="F168" s="16"/>
      <c r="G168" s="16"/>
      <c r="H168" s="17"/>
      <c r="I168" s="16"/>
      <c r="J168" s="16"/>
      <c r="K168" s="16"/>
      <c r="L168" s="16"/>
      <c r="M168" s="17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spans="2:23" x14ac:dyDescent="0.35">
      <c r="B169" s="14" t="s">
        <v>23</v>
      </c>
      <c r="C169" s="16"/>
      <c r="D169" s="17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7"/>
      <c r="P169" s="16"/>
      <c r="Q169" s="17"/>
      <c r="R169" s="17"/>
      <c r="S169" s="16"/>
      <c r="T169" s="16"/>
      <c r="U169" s="16"/>
      <c r="V169" s="16"/>
      <c r="W169" s="16"/>
    </row>
    <row r="170" spans="2:23" x14ac:dyDescent="0.35">
      <c r="B170" s="14" t="s">
        <v>24</v>
      </c>
      <c r="C170" s="17"/>
      <c r="D170" s="17">
        <v>74816</v>
      </c>
      <c r="E170" s="16"/>
      <c r="F170" s="17"/>
      <c r="G170" s="16"/>
      <c r="H170" s="16"/>
      <c r="I170" s="16"/>
      <c r="J170" s="16"/>
      <c r="K170" s="16"/>
      <c r="L170" s="17"/>
      <c r="M170" s="17"/>
      <c r="N170" s="16"/>
      <c r="O170" s="16"/>
      <c r="P170" s="20"/>
      <c r="Q170" s="17"/>
      <c r="R170" s="16"/>
      <c r="S170" s="16"/>
      <c r="T170" s="16"/>
      <c r="U170" s="16"/>
      <c r="V170" s="16"/>
      <c r="W170" s="16"/>
    </row>
    <row r="171" spans="2:23" x14ac:dyDescent="0.35">
      <c r="B171" s="14" t="s">
        <v>9</v>
      </c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4"/>
      <c r="T171" s="14"/>
      <c r="U171" s="14"/>
      <c r="V171" s="14"/>
      <c r="W171" s="14"/>
    </row>
    <row r="172" spans="2:23" x14ac:dyDescent="0.35">
      <c r="B172" s="14" t="s">
        <v>10</v>
      </c>
      <c r="C172" s="17">
        <v>63742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7"/>
      <c r="O172" s="16"/>
      <c r="P172" s="16"/>
      <c r="Q172" s="16"/>
      <c r="R172" s="16"/>
      <c r="S172" s="14"/>
      <c r="T172" s="14"/>
      <c r="U172" s="14"/>
      <c r="V172" s="14"/>
      <c r="W172" s="14"/>
    </row>
    <row r="173" spans="2:23" x14ac:dyDescent="0.35">
      <c r="B173" s="14" t="s">
        <v>11</v>
      </c>
      <c r="C173" s="17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7">
        <v>12828</v>
      </c>
      <c r="R173" s="16"/>
      <c r="S173" s="14"/>
      <c r="T173" s="14"/>
      <c r="U173" s="14"/>
      <c r="V173" s="14"/>
      <c r="W173" s="14"/>
    </row>
    <row r="174" spans="2:23" x14ac:dyDescent="0.35">
      <c r="B174" s="14" t="s">
        <v>34</v>
      </c>
      <c r="C174" s="16"/>
      <c r="D174" s="17"/>
      <c r="E174" s="16"/>
      <c r="F174" s="16"/>
      <c r="G174" s="16"/>
      <c r="H174" s="17"/>
      <c r="I174" s="16"/>
      <c r="J174" s="16"/>
      <c r="K174" s="16"/>
      <c r="L174" s="16"/>
      <c r="M174" s="16"/>
      <c r="N174" s="16"/>
      <c r="O174" s="16"/>
      <c r="P174" s="16"/>
      <c r="Q174" s="16"/>
      <c r="R174" s="17"/>
      <c r="S174" s="16"/>
      <c r="T174" s="16"/>
      <c r="U174" s="16"/>
      <c r="V174" s="16"/>
      <c r="W174" s="16"/>
    </row>
    <row r="175" spans="2:23" x14ac:dyDescent="0.35">
      <c r="B175" s="14" t="s">
        <v>13</v>
      </c>
      <c r="C175" s="16"/>
      <c r="D175" s="16"/>
      <c r="E175" s="16"/>
      <c r="F175" s="17"/>
      <c r="G175" s="16"/>
      <c r="H175" s="17">
        <v>74816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4"/>
      <c r="T175" s="14"/>
      <c r="U175" s="14"/>
      <c r="V175" s="14"/>
      <c r="W175" s="14"/>
    </row>
    <row r="176" spans="2:23" x14ac:dyDescent="0.35">
      <c r="B176" s="14" t="s">
        <v>14</v>
      </c>
      <c r="C176" s="16"/>
      <c r="D176" s="16"/>
      <c r="E176" s="17"/>
      <c r="F176" s="16"/>
      <c r="G176" s="16"/>
      <c r="H176" s="16"/>
      <c r="I176" s="16"/>
      <c r="J176" s="17"/>
      <c r="K176" s="16"/>
      <c r="L176" s="16"/>
      <c r="M176" s="16"/>
      <c r="N176" s="16"/>
      <c r="O176" s="16"/>
      <c r="P176" s="16"/>
      <c r="Q176" s="16"/>
      <c r="R176" s="16"/>
      <c r="S176" s="14"/>
      <c r="T176" s="14"/>
      <c r="U176" s="14"/>
      <c r="V176" s="14"/>
      <c r="W176" s="14"/>
    </row>
    <row r="177" spans="2:23" x14ac:dyDescent="0.35">
      <c r="B177" s="14" t="s">
        <v>15</v>
      </c>
      <c r="C177" s="16"/>
      <c r="D177" s="16"/>
      <c r="E177" s="16"/>
      <c r="F177" s="16"/>
      <c r="G177" s="17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4"/>
      <c r="T177" s="14"/>
      <c r="U177" s="14"/>
      <c r="V177" s="14"/>
      <c r="W177" s="14"/>
    </row>
    <row r="178" spans="2:23" x14ac:dyDescent="0.35">
      <c r="B178" s="14" t="s">
        <v>42</v>
      </c>
      <c r="C178" s="16"/>
      <c r="D178" s="16"/>
      <c r="E178" s="16"/>
      <c r="F178" s="16"/>
      <c r="G178" s="16"/>
      <c r="H178" s="20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 spans="2:23" x14ac:dyDescent="0.35">
      <c r="B179" s="14" t="s">
        <v>43</v>
      </c>
      <c r="C179" s="17"/>
      <c r="D179" s="16"/>
      <c r="E179" s="16"/>
      <c r="F179" s="16"/>
      <c r="G179" s="17">
        <v>76570</v>
      </c>
      <c r="H179" s="17"/>
      <c r="I179" s="16"/>
      <c r="J179" s="16"/>
      <c r="K179" s="17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 spans="2:23" x14ac:dyDescent="0.35">
      <c r="B180" s="14" t="s">
        <v>44</v>
      </c>
      <c r="C180" s="16"/>
      <c r="D180" s="17"/>
      <c r="E180" s="16"/>
      <c r="F180" s="16"/>
      <c r="G180" s="17"/>
      <c r="H180" s="16"/>
      <c r="I180" s="16"/>
      <c r="J180" s="16"/>
      <c r="K180" s="16"/>
      <c r="L180" s="17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spans="2:23" x14ac:dyDescent="0.35">
      <c r="B181" s="14" t="s">
        <v>26</v>
      </c>
      <c r="C181" s="16"/>
      <c r="D181" s="16"/>
      <c r="E181" s="14"/>
      <c r="F181" s="16"/>
      <c r="G181" s="16"/>
      <c r="H181" s="16"/>
      <c r="I181" s="17"/>
      <c r="J181" s="14"/>
      <c r="K181" s="17">
        <v>12828</v>
      </c>
      <c r="L181" s="16"/>
      <c r="M181" s="14"/>
      <c r="N181" s="14"/>
      <c r="O181" s="14"/>
      <c r="P181" s="16"/>
      <c r="Q181" s="16"/>
      <c r="R181" s="16"/>
      <c r="S181" s="16"/>
      <c r="T181" s="16"/>
      <c r="U181" s="16"/>
      <c r="V181" s="16"/>
      <c r="W181" s="16"/>
    </row>
    <row r="182" spans="2:23" x14ac:dyDescent="0.35">
      <c r="B182" s="14" t="s">
        <v>27</v>
      </c>
      <c r="C182" s="16"/>
      <c r="D182" s="16"/>
      <c r="E182" s="14"/>
      <c r="F182" s="16"/>
      <c r="G182" s="16"/>
      <c r="H182" s="16"/>
      <c r="I182" s="14"/>
      <c r="J182" s="14"/>
      <c r="K182" s="14"/>
      <c r="L182" s="16"/>
      <c r="M182" s="14"/>
      <c r="N182" s="14"/>
      <c r="O182" s="17">
        <v>597</v>
      </c>
      <c r="P182" s="16"/>
      <c r="Q182" s="16"/>
      <c r="R182" s="16"/>
      <c r="S182" s="16"/>
      <c r="T182" s="16"/>
      <c r="U182" s="16"/>
      <c r="V182" s="16"/>
      <c r="W182" s="16"/>
    </row>
    <row r="183" spans="2:23" x14ac:dyDescent="0.35">
      <c r="B183" s="14" t="s">
        <v>29</v>
      </c>
      <c r="C183" s="16"/>
      <c r="D183" s="16"/>
      <c r="E183" s="17"/>
      <c r="F183" s="16"/>
      <c r="G183" s="16"/>
      <c r="H183" s="16"/>
      <c r="I183" s="17"/>
      <c r="J183" s="17">
        <v>63742</v>
      </c>
      <c r="K183" s="17"/>
      <c r="L183" s="16"/>
      <c r="M183" s="14"/>
      <c r="N183" s="17"/>
      <c r="O183" s="14"/>
      <c r="P183" s="16"/>
      <c r="Q183" s="16"/>
      <c r="R183" s="16"/>
      <c r="S183" s="16"/>
      <c r="T183" s="16"/>
      <c r="U183" s="16"/>
      <c r="V183" s="16"/>
      <c r="W183" s="16"/>
    </row>
    <row r="184" spans="2:23" x14ac:dyDescent="0.35">
      <c r="B184" s="14" t="s">
        <v>32</v>
      </c>
      <c r="C184" s="16"/>
      <c r="D184" s="16"/>
      <c r="E184" s="17"/>
      <c r="F184" s="16"/>
      <c r="G184" s="16"/>
      <c r="H184" s="16"/>
      <c r="I184" s="17"/>
      <c r="J184" s="17"/>
      <c r="K184" s="14"/>
      <c r="L184" s="16"/>
      <c r="M184" s="17">
        <v>73782</v>
      </c>
      <c r="N184" s="14"/>
      <c r="O184" s="14"/>
      <c r="P184" s="16"/>
      <c r="Q184" s="16"/>
      <c r="R184" s="16"/>
      <c r="S184" s="16"/>
      <c r="T184" s="16"/>
      <c r="U184" s="16"/>
      <c r="V184" s="16"/>
      <c r="W184" s="16"/>
    </row>
    <row r="185" spans="2:23" x14ac:dyDescent="0.35">
      <c r="B185" s="14" t="s">
        <v>45</v>
      </c>
      <c r="C185" s="16"/>
      <c r="D185" s="16"/>
      <c r="E185" s="14"/>
      <c r="F185" s="16"/>
      <c r="G185" s="16"/>
      <c r="H185" s="16"/>
      <c r="I185" s="14"/>
      <c r="J185" s="17"/>
      <c r="K185" s="14"/>
      <c r="L185" s="16"/>
      <c r="M185" s="17">
        <v>1034</v>
      </c>
      <c r="N185" s="17"/>
      <c r="O185" s="14"/>
      <c r="P185" s="16"/>
      <c r="Q185" s="16"/>
      <c r="R185" s="16"/>
      <c r="S185" s="16"/>
      <c r="T185" s="16"/>
      <c r="U185" s="16"/>
      <c r="V185" s="16"/>
      <c r="W185" s="16"/>
    </row>
    <row r="187" spans="2:23" x14ac:dyDescent="0.35">
      <c r="B187" s="14">
        <v>9</v>
      </c>
      <c r="C187" s="14" t="s">
        <v>5</v>
      </c>
      <c r="D187" s="14" t="s">
        <v>17</v>
      </c>
      <c r="E187" s="14" t="s">
        <v>6</v>
      </c>
      <c r="F187" s="14" t="s">
        <v>19</v>
      </c>
      <c r="G187" s="14" t="s">
        <v>23</v>
      </c>
      <c r="H187" s="14" t="s">
        <v>24</v>
      </c>
      <c r="I187" s="14" t="s">
        <v>9</v>
      </c>
      <c r="J187" s="14" t="s">
        <v>10</v>
      </c>
      <c r="K187" s="14" t="s">
        <v>11</v>
      </c>
      <c r="L187" s="14" t="s">
        <v>34</v>
      </c>
      <c r="M187" s="14" t="s">
        <v>13</v>
      </c>
      <c r="N187" s="14" t="s">
        <v>14</v>
      </c>
      <c r="O187" s="14" t="s">
        <v>15</v>
      </c>
      <c r="P187" s="14" t="s">
        <v>42</v>
      </c>
      <c r="Q187" s="14" t="s">
        <v>43</v>
      </c>
      <c r="R187" s="14" t="s">
        <v>44</v>
      </c>
      <c r="S187" s="14" t="s">
        <v>26</v>
      </c>
      <c r="T187" s="14" t="s">
        <v>27</v>
      </c>
      <c r="U187" s="14" t="s">
        <v>29</v>
      </c>
      <c r="V187" s="14" t="s">
        <v>32</v>
      </c>
      <c r="W187" s="14" t="s">
        <v>45</v>
      </c>
    </row>
    <row r="188" spans="2:23" x14ac:dyDescent="0.35">
      <c r="B188" s="14" t="s">
        <v>5</v>
      </c>
      <c r="C188" s="16"/>
      <c r="D188" s="16"/>
      <c r="E188" s="16"/>
      <c r="F188" s="17"/>
      <c r="G188" s="16"/>
      <c r="H188" s="17"/>
      <c r="I188" s="16"/>
      <c r="J188" s="17"/>
      <c r="K188" s="17"/>
      <c r="L188" s="16"/>
      <c r="M188" s="16"/>
      <c r="N188" s="16"/>
      <c r="O188" s="16"/>
      <c r="P188" s="16"/>
      <c r="Q188" s="17"/>
      <c r="R188" s="16"/>
      <c r="S188" s="16"/>
      <c r="T188" s="16"/>
      <c r="U188" s="16"/>
      <c r="V188" s="16"/>
      <c r="W188" s="16"/>
    </row>
    <row r="189" spans="2:23" x14ac:dyDescent="0.35">
      <c r="B189" s="14" t="s">
        <v>17</v>
      </c>
      <c r="C189" s="16"/>
      <c r="D189" s="16"/>
      <c r="E189" s="16"/>
      <c r="F189" s="16"/>
      <c r="G189" s="17"/>
      <c r="H189" s="17"/>
      <c r="I189" s="16"/>
      <c r="J189" s="16"/>
      <c r="K189" s="16"/>
      <c r="L189" s="17"/>
      <c r="M189" s="16"/>
      <c r="N189" s="16"/>
      <c r="O189" s="16"/>
      <c r="P189" s="16"/>
      <c r="Q189" s="16"/>
      <c r="R189" s="17">
        <v>74816</v>
      </c>
      <c r="S189" s="16"/>
      <c r="T189" s="16"/>
      <c r="U189" s="16"/>
      <c r="V189" s="16"/>
      <c r="W189" s="16"/>
    </row>
    <row r="190" spans="2:23" x14ac:dyDescent="0.35">
      <c r="B190" s="14" t="s">
        <v>6</v>
      </c>
      <c r="C190" s="16"/>
      <c r="D190" s="16"/>
      <c r="E190" s="16"/>
      <c r="F190" s="16"/>
      <c r="G190" s="16"/>
      <c r="H190" s="16"/>
      <c r="I190" s="17"/>
      <c r="J190" s="16"/>
      <c r="K190" s="16"/>
      <c r="L190" s="16"/>
      <c r="M190" s="16"/>
      <c r="N190" s="17"/>
      <c r="O190" s="16"/>
      <c r="P190" s="16"/>
      <c r="Q190" s="16"/>
      <c r="R190" s="16"/>
      <c r="S190" s="14"/>
      <c r="T190" s="14"/>
      <c r="U190" s="14"/>
      <c r="V190" s="14"/>
      <c r="W190" s="14"/>
    </row>
    <row r="191" spans="2:23" x14ac:dyDescent="0.35">
      <c r="B191" s="14" t="s">
        <v>19</v>
      </c>
      <c r="C191" s="17"/>
      <c r="D191" s="16"/>
      <c r="E191" s="16"/>
      <c r="F191" s="16"/>
      <c r="G191" s="16"/>
      <c r="H191" s="17"/>
      <c r="I191" s="16"/>
      <c r="J191" s="16"/>
      <c r="K191" s="16"/>
      <c r="L191" s="16"/>
      <c r="M191" s="17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 spans="2:23" x14ac:dyDescent="0.35">
      <c r="B192" s="14" t="s">
        <v>23</v>
      </c>
      <c r="C192" s="16"/>
      <c r="D192" s="17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7"/>
      <c r="P192" s="16"/>
      <c r="Q192" s="17"/>
      <c r="R192" s="17"/>
      <c r="S192" s="16"/>
      <c r="T192" s="16"/>
      <c r="U192" s="16"/>
      <c r="V192" s="16"/>
      <c r="W192" s="16"/>
    </row>
    <row r="193" spans="2:23" x14ac:dyDescent="0.35">
      <c r="B193" s="14" t="s">
        <v>24</v>
      </c>
      <c r="C193" s="17"/>
      <c r="D193" s="17">
        <v>74816</v>
      </c>
      <c r="E193" s="16"/>
      <c r="F193" s="17"/>
      <c r="G193" s="16"/>
      <c r="H193" s="16"/>
      <c r="I193" s="16"/>
      <c r="J193" s="16"/>
      <c r="K193" s="16"/>
      <c r="L193" s="17"/>
      <c r="M193" s="17"/>
      <c r="N193" s="16"/>
      <c r="O193" s="16"/>
      <c r="P193" s="20"/>
      <c r="Q193" s="17"/>
      <c r="R193" s="16"/>
      <c r="S193" s="16"/>
      <c r="T193" s="16"/>
      <c r="U193" s="16"/>
      <c r="V193" s="16"/>
      <c r="W193" s="16"/>
    </row>
    <row r="194" spans="2:23" x14ac:dyDescent="0.35">
      <c r="B194" s="14" t="s">
        <v>9</v>
      </c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4"/>
      <c r="T194" s="14"/>
      <c r="U194" s="14"/>
      <c r="V194" s="14"/>
      <c r="W194" s="14"/>
    </row>
    <row r="195" spans="2:23" x14ac:dyDescent="0.35">
      <c r="B195" s="14" t="s">
        <v>10</v>
      </c>
      <c r="C195" s="17">
        <v>63742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7"/>
      <c r="O195" s="16"/>
      <c r="P195" s="16"/>
      <c r="Q195" s="16"/>
      <c r="R195" s="16"/>
      <c r="S195" s="14"/>
      <c r="T195" s="14"/>
      <c r="U195" s="14"/>
      <c r="V195" s="14"/>
      <c r="W195" s="14"/>
    </row>
    <row r="196" spans="2:23" x14ac:dyDescent="0.35">
      <c r="B196" s="14" t="s">
        <v>11</v>
      </c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7">
        <v>12828</v>
      </c>
      <c r="R196" s="16"/>
      <c r="S196" s="14"/>
      <c r="T196" s="14"/>
      <c r="U196" s="14"/>
      <c r="V196" s="14"/>
      <c r="W196" s="14"/>
    </row>
    <row r="197" spans="2:23" x14ac:dyDescent="0.35">
      <c r="B197" s="14" t="s">
        <v>34</v>
      </c>
      <c r="C197" s="16"/>
      <c r="D197" s="17"/>
      <c r="E197" s="16"/>
      <c r="F197" s="16"/>
      <c r="G197" s="16"/>
      <c r="H197" s="17"/>
      <c r="I197" s="16"/>
      <c r="J197" s="16"/>
      <c r="K197" s="16"/>
      <c r="L197" s="16"/>
      <c r="M197" s="16"/>
      <c r="N197" s="16"/>
      <c r="O197" s="16"/>
      <c r="P197" s="16"/>
      <c r="Q197" s="16"/>
      <c r="R197" s="17"/>
      <c r="S197" s="16"/>
      <c r="T197" s="16"/>
      <c r="U197" s="16"/>
      <c r="V197" s="16"/>
      <c r="W197" s="16"/>
    </row>
    <row r="198" spans="2:23" x14ac:dyDescent="0.35">
      <c r="B198" s="14" t="s">
        <v>13</v>
      </c>
      <c r="C198" s="16"/>
      <c r="D198" s="16"/>
      <c r="E198" s="16"/>
      <c r="F198" s="17"/>
      <c r="G198" s="16"/>
      <c r="H198" s="17">
        <v>74816</v>
      </c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4"/>
      <c r="T198" s="14"/>
      <c r="U198" s="14"/>
      <c r="V198" s="14"/>
      <c r="W198" s="14"/>
    </row>
    <row r="199" spans="2:23" x14ac:dyDescent="0.35">
      <c r="B199" s="14" t="s">
        <v>14</v>
      </c>
      <c r="C199" s="16"/>
      <c r="D199" s="16"/>
      <c r="E199" s="17"/>
      <c r="F199" s="16"/>
      <c r="G199" s="16"/>
      <c r="H199" s="16"/>
      <c r="I199" s="16"/>
      <c r="J199" s="17"/>
      <c r="K199" s="16"/>
      <c r="L199" s="16"/>
      <c r="M199" s="16"/>
      <c r="N199" s="16"/>
      <c r="O199" s="16"/>
      <c r="P199" s="16"/>
      <c r="Q199" s="16"/>
      <c r="R199" s="16"/>
      <c r="S199" s="14"/>
      <c r="T199" s="14"/>
      <c r="U199" s="14"/>
      <c r="V199" s="14"/>
      <c r="W199" s="14"/>
    </row>
    <row r="200" spans="2:23" x14ac:dyDescent="0.35">
      <c r="B200" s="14" t="s">
        <v>15</v>
      </c>
      <c r="C200" s="16"/>
      <c r="D200" s="16"/>
      <c r="E200" s="16"/>
      <c r="F200" s="16"/>
      <c r="G200" s="17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4"/>
      <c r="T200" s="14"/>
      <c r="U200" s="14"/>
      <c r="V200" s="14"/>
      <c r="W200" s="14"/>
    </row>
    <row r="201" spans="2:23" x14ac:dyDescent="0.35">
      <c r="B201" s="14" t="s">
        <v>42</v>
      </c>
      <c r="C201" s="16"/>
      <c r="D201" s="16"/>
      <c r="E201" s="16"/>
      <c r="F201" s="16"/>
      <c r="G201" s="16"/>
      <c r="H201" s="20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 spans="2:23" x14ac:dyDescent="0.35">
      <c r="B202" s="14" t="s">
        <v>43</v>
      </c>
      <c r="C202" s="17"/>
      <c r="D202" s="16"/>
      <c r="E202" s="16"/>
      <c r="F202" s="16"/>
      <c r="G202" s="17">
        <v>76570</v>
      </c>
      <c r="H202" s="17"/>
      <c r="I202" s="16"/>
      <c r="J202" s="16"/>
      <c r="K202" s="17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spans="2:23" x14ac:dyDescent="0.35">
      <c r="B203" s="14" t="s">
        <v>44</v>
      </c>
      <c r="C203" s="16"/>
      <c r="D203" s="17"/>
      <c r="E203" s="16"/>
      <c r="F203" s="16"/>
      <c r="G203" s="17"/>
      <c r="H203" s="16"/>
      <c r="I203" s="16"/>
      <c r="J203" s="16"/>
      <c r="K203" s="16"/>
      <c r="L203" s="17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 spans="2:23" x14ac:dyDescent="0.35">
      <c r="B204" s="14" t="s">
        <v>26</v>
      </c>
      <c r="C204" s="16"/>
      <c r="D204" s="16"/>
      <c r="E204" s="14"/>
      <c r="F204" s="16"/>
      <c r="G204" s="16"/>
      <c r="H204" s="16"/>
      <c r="I204" s="17"/>
      <c r="J204" s="14"/>
      <c r="K204" s="17">
        <v>12828</v>
      </c>
      <c r="L204" s="16"/>
      <c r="M204" s="14"/>
      <c r="N204" s="14"/>
      <c r="O204" s="14"/>
      <c r="P204" s="16"/>
      <c r="Q204" s="16"/>
      <c r="R204" s="16"/>
      <c r="S204" s="16"/>
      <c r="T204" s="16"/>
      <c r="U204" s="16"/>
      <c r="V204" s="16"/>
      <c r="W204" s="16"/>
    </row>
    <row r="205" spans="2:23" x14ac:dyDescent="0.35">
      <c r="B205" s="14" t="s">
        <v>27</v>
      </c>
      <c r="C205" s="16"/>
      <c r="D205" s="16"/>
      <c r="E205" s="14"/>
      <c r="F205" s="16"/>
      <c r="G205" s="16"/>
      <c r="H205" s="16"/>
      <c r="I205" s="14"/>
      <c r="J205" s="14"/>
      <c r="K205" s="14"/>
      <c r="L205" s="16"/>
      <c r="M205" s="14"/>
      <c r="N205" s="14"/>
      <c r="O205" s="17">
        <v>597</v>
      </c>
      <c r="P205" s="16"/>
      <c r="Q205" s="16"/>
      <c r="R205" s="16"/>
      <c r="S205" s="16"/>
      <c r="T205" s="16"/>
      <c r="U205" s="16"/>
      <c r="V205" s="16"/>
      <c r="W205" s="16"/>
    </row>
    <row r="206" spans="2:23" x14ac:dyDescent="0.35">
      <c r="B206" s="14" t="s">
        <v>29</v>
      </c>
      <c r="C206" s="16"/>
      <c r="D206" s="16"/>
      <c r="E206" s="17"/>
      <c r="F206" s="16"/>
      <c r="G206" s="16"/>
      <c r="H206" s="16"/>
      <c r="I206" s="17"/>
      <c r="J206" s="17">
        <v>63742</v>
      </c>
      <c r="K206" s="17"/>
      <c r="L206" s="16"/>
      <c r="M206" s="14"/>
      <c r="N206" s="17"/>
      <c r="O206" s="14"/>
      <c r="P206" s="16"/>
      <c r="Q206" s="16"/>
      <c r="R206" s="16"/>
      <c r="S206" s="16"/>
      <c r="T206" s="16"/>
      <c r="U206" s="16"/>
      <c r="V206" s="16"/>
      <c r="W206" s="16"/>
    </row>
    <row r="207" spans="2:23" x14ac:dyDescent="0.35">
      <c r="B207" s="14" t="s">
        <v>32</v>
      </c>
      <c r="C207" s="16"/>
      <c r="D207" s="16"/>
      <c r="E207" s="17"/>
      <c r="F207" s="16"/>
      <c r="G207" s="16"/>
      <c r="H207" s="16"/>
      <c r="I207" s="17"/>
      <c r="J207" s="17"/>
      <c r="K207" s="14"/>
      <c r="L207" s="16"/>
      <c r="M207" s="17">
        <v>73782</v>
      </c>
      <c r="N207" s="14"/>
      <c r="O207" s="14"/>
      <c r="P207" s="16"/>
      <c r="Q207" s="16"/>
      <c r="R207" s="16"/>
      <c r="S207" s="16"/>
      <c r="T207" s="16"/>
      <c r="U207" s="16"/>
      <c r="V207" s="16"/>
      <c r="W207" s="16"/>
    </row>
    <row r="208" spans="2:23" x14ac:dyDescent="0.35">
      <c r="B208" s="14" t="s">
        <v>45</v>
      </c>
      <c r="C208" s="16"/>
      <c r="D208" s="16"/>
      <c r="E208" s="14"/>
      <c r="F208" s="16"/>
      <c r="G208" s="16"/>
      <c r="H208" s="16"/>
      <c r="I208" s="14"/>
      <c r="J208" s="17"/>
      <c r="K208" s="14"/>
      <c r="L208" s="16"/>
      <c r="M208" s="17">
        <v>1034</v>
      </c>
      <c r="N208" s="17"/>
      <c r="O208" s="14"/>
      <c r="P208" s="16"/>
      <c r="Q208" s="16"/>
      <c r="R208" s="16"/>
      <c r="S208" s="16"/>
      <c r="T208" s="16"/>
      <c r="U208" s="16"/>
      <c r="V208" s="16"/>
      <c r="W208" s="16"/>
    </row>
    <row r="210" spans="2:23" x14ac:dyDescent="0.35">
      <c r="B210" s="14">
        <v>10</v>
      </c>
      <c r="C210" s="14" t="s">
        <v>5</v>
      </c>
      <c r="D210" s="14" t="s">
        <v>17</v>
      </c>
      <c r="E210" s="14" t="s">
        <v>6</v>
      </c>
      <c r="F210" s="14" t="s">
        <v>19</v>
      </c>
      <c r="G210" s="14" t="s">
        <v>23</v>
      </c>
      <c r="H210" s="14" t="s">
        <v>24</v>
      </c>
      <c r="I210" s="14" t="s">
        <v>9</v>
      </c>
      <c r="J210" s="14" t="s">
        <v>10</v>
      </c>
      <c r="K210" s="14" t="s">
        <v>11</v>
      </c>
      <c r="L210" s="14" t="s">
        <v>34</v>
      </c>
      <c r="M210" s="14" t="s">
        <v>13</v>
      </c>
      <c r="N210" s="14" t="s">
        <v>14</v>
      </c>
      <c r="O210" s="14" t="s">
        <v>15</v>
      </c>
      <c r="P210" s="14" t="s">
        <v>42</v>
      </c>
      <c r="Q210" s="14" t="s">
        <v>43</v>
      </c>
      <c r="R210" s="14" t="s">
        <v>44</v>
      </c>
      <c r="S210" s="14" t="s">
        <v>26</v>
      </c>
      <c r="T210" s="14" t="s">
        <v>27</v>
      </c>
      <c r="U210" s="14" t="s">
        <v>29</v>
      </c>
      <c r="V210" s="14" t="s">
        <v>32</v>
      </c>
      <c r="W210" s="14" t="s">
        <v>45</v>
      </c>
    </row>
    <row r="211" spans="2:23" x14ac:dyDescent="0.35">
      <c r="B211" s="14" t="s">
        <v>5</v>
      </c>
      <c r="C211" s="16"/>
      <c r="D211" s="16"/>
      <c r="E211" s="16"/>
      <c r="F211" s="17"/>
      <c r="G211" s="16"/>
      <c r="H211" s="17"/>
      <c r="I211" s="16"/>
      <c r="J211" s="17"/>
      <c r="K211" s="17"/>
      <c r="L211" s="16"/>
      <c r="M211" s="16"/>
      <c r="N211" s="16"/>
      <c r="O211" s="16"/>
      <c r="P211" s="16"/>
      <c r="Q211" s="17">
        <v>63742</v>
      </c>
      <c r="R211" s="16"/>
      <c r="S211" s="16"/>
      <c r="T211" s="16"/>
      <c r="U211" s="16"/>
      <c r="V211" s="16"/>
      <c r="W211" s="16"/>
    </row>
    <row r="212" spans="2:23" x14ac:dyDescent="0.35">
      <c r="B212" s="14" t="s">
        <v>17</v>
      </c>
      <c r="C212" s="16"/>
      <c r="D212" s="16"/>
      <c r="E212" s="16"/>
      <c r="F212" s="16"/>
      <c r="G212" s="17"/>
      <c r="H212" s="17"/>
      <c r="I212" s="16"/>
      <c r="J212" s="16"/>
      <c r="K212" s="16"/>
      <c r="L212" s="17"/>
      <c r="M212" s="16"/>
      <c r="N212" s="16"/>
      <c r="O212" s="16"/>
      <c r="P212" s="16"/>
      <c r="Q212" s="16"/>
      <c r="R212" s="17">
        <v>74816</v>
      </c>
      <c r="S212" s="16"/>
      <c r="T212" s="16"/>
      <c r="U212" s="16"/>
      <c r="V212" s="16"/>
      <c r="W212" s="16"/>
    </row>
    <row r="213" spans="2:23" x14ac:dyDescent="0.35">
      <c r="B213" s="14" t="s">
        <v>6</v>
      </c>
      <c r="C213" s="16"/>
      <c r="D213" s="16"/>
      <c r="E213" s="16"/>
      <c r="F213" s="16"/>
      <c r="G213" s="16"/>
      <c r="H213" s="16"/>
      <c r="I213" s="17"/>
      <c r="J213" s="16"/>
      <c r="K213" s="16"/>
      <c r="L213" s="16"/>
      <c r="M213" s="16"/>
      <c r="N213" s="17"/>
      <c r="O213" s="16"/>
      <c r="P213" s="16"/>
      <c r="Q213" s="16"/>
      <c r="R213" s="16"/>
      <c r="S213" s="14"/>
      <c r="T213" s="14"/>
      <c r="U213" s="14"/>
      <c r="V213" s="14"/>
      <c r="W213" s="14"/>
    </row>
    <row r="214" spans="2:23" x14ac:dyDescent="0.35">
      <c r="B214" s="14" t="s">
        <v>19</v>
      </c>
      <c r="C214" s="17"/>
      <c r="D214" s="16"/>
      <c r="E214" s="16"/>
      <c r="F214" s="16"/>
      <c r="G214" s="16"/>
      <c r="H214" s="17"/>
      <c r="I214" s="16"/>
      <c r="J214" s="16"/>
      <c r="K214" s="16"/>
      <c r="L214" s="16"/>
      <c r="M214" s="17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 spans="2:23" x14ac:dyDescent="0.35">
      <c r="B215" s="14" t="s">
        <v>23</v>
      </c>
      <c r="C215" s="16"/>
      <c r="D215" s="17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7"/>
      <c r="P215" s="16"/>
      <c r="Q215" s="17"/>
      <c r="R215" s="17"/>
      <c r="S215" s="16"/>
      <c r="T215" s="16"/>
      <c r="U215" s="16"/>
      <c r="V215" s="16"/>
      <c r="W215" s="16"/>
    </row>
    <row r="216" spans="2:23" x14ac:dyDescent="0.35">
      <c r="B216" s="14" t="s">
        <v>24</v>
      </c>
      <c r="C216" s="17"/>
      <c r="D216" s="17">
        <v>74816</v>
      </c>
      <c r="E216" s="16"/>
      <c r="F216" s="17"/>
      <c r="G216" s="16"/>
      <c r="H216" s="16"/>
      <c r="I216" s="16"/>
      <c r="J216" s="16"/>
      <c r="K216" s="16"/>
      <c r="L216" s="17"/>
      <c r="M216" s="17"/>
      <c r="N216" s="16"/>
      <c r="O216" s="16"/>
      <c r="P216" s="20"/>
      <c r="Q216" s="17"/>
      <c r="R216" s="16"/>
      <c r="S216" s="16"/>
      <c r="T216" s="16"/>
      <c r="U216" s="16"/>
      <c r="V216" s="16"/>
      <c r="W216" s="16"/>
    </row>
    <row r="217" spans="2:23" x14ac:dyDescent="0.35">
      <c r="B217" s="14" t="s">
        <v>9</v>
      </c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4"/>
      <c r="T217" s="14"/>
      <c r="U217" s="14"/>
      <c r="V217" s="14"/>
      <c r="W217" s="14"/>
    </row>
    <row r="218" spans="2:23" x14ac:dyDescent="0.35">
      <c r="B218" s="14" t="s">
        <v>10</v>
      </c>
      <c r="C218" s="17">
        <v>63742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7"/>
      <c r="O218" s="16"/>
      <c r="P218" s="16"/>
      <c r="Q218" s="16"/>
      <c r="R218" s="16"/>
      <c r="S218" s="14"/>
      <c r="T218" s="14"/>
      <c r="U218" s="14"/>
      <c r="V218" s="14"/>
      <c r="W218" s="14"/>
    </row>
    <row r="219" spans="2:23" x14ac:dyDescent="0.35">
      <c r="B219" s="14" t="s">
        <v>11</v>
      </c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7">
        <v>12828</v>
      </c>
      <c r="R219" s="16"/>
      <c r="S219" s="14"/>
      <c r="T219" s="14"/>
      <c r="U219" s="14"/>
      <c r="V219" s="14"/>
      <c r="W219" s="14"/>
    </row>
    <row r="220" spans="2:23" x14ac:dyDescent="0.35">
      <c r="B220" s="14" t="s">
        <v>34</v>
      </c>
      <c r="C220" s="16"/>
      <c r="D220" s="17"/>
      <c r="E220" s="16"/>
      <c r="F220" s="16"/>
      <c r="G220" s="16"/>
      <c r="H220" s="17"/>
      <c r="I220" s="16"/>
      <c r="J220" s="16"/>
      <c r="K220" s="16"/>
      <c r="L220" s="16"/>
      <c r="M220" s="16"/>
      <c r="N220" s="16"/>
      <c r="O220" s="16"/>
      <c r="P220" s="16"/>
      <c r="Q220" s="16"/>
      <c r="R220" s="17"/>
      <c r="S220" s="16"/>
      <c r="T220" s="16"/>
      <c r="U220" s="16"/>
      <c r="V220" s="16"/>
      <c r="W220" s="16"/>
    </row>
    <row r="221" spans="2:23" x14ac:dyDescent="0.35">
      <c r="B221" s="14" t="s">
        <v>13</v>
      </c>
      <c r="C221" s="16"/>
      <c r="D221" s="16"/>
      <c r="E221" s="16"/>
      <c r="F221" s="17"/>
      <c r="G221" s="16"/>
      <c r="H221" s="17">
        <v>74816</v>
      </c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4"/>
      <c r="T221" s="14"/>
      <c r="U221" s="14"/>
      <c r="V221" s="14"/>
      <c r="W221" s="14"/>
    </row>
    <row r="222" spans="2:23" x14ac:dyDescent="0.35">
      <c r="B222" s="14" t="s">
        <v>14</v>
      </c>
      <c r="C222" s="16"/>
      <c r="D222" s="16"/>
      <c r="E222" s="17"/>
      <c r="F222" s="16"/>
      <c r="G222" s="16"/>
      <c r="H222" s="16"/>
      <c r="I222" s="16"/>
      <c r="J222" s="17"/>
      <c r="K222" s="16"/>
      <c r="L222" s="16"/>
      <c r="M222" s="16"/>
      <c r="N222" s="16"/>
      <c r="O222" s="16"/>
      <c r="P222" s="16"/>
      <c r="Q222" s="16"/>
      <c r="R222" s="16"/>
      <c r="S222" s="14"/>
      <c r="T222" s="14"/>
      <c r="U222" s="14"/>
      <c r="V222" s="14"/>
      <c r="W222" s="14"/>
    </row>
    <row r="223" spans="2:23" x14ac:dyDescent="0.35">
      <c r="B223" s="14" t="s">
        <v>15</v>
      </c>
      <c r="C223" s="16"/>
      <c r="D223" s="16"/>
      <c r="E223" s="16"/>
      <c r="F223" s="16"/>
      <c r="G223" s="17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4"/>
      <c r="T223" s="14"/>
      <c r="U223" s="14"/>
      <c r="V223" s="14"/>
      <c r="W223" s="14"/>
    </row>
    <row r="224" spans="2:23" x14ac:dyDescent="0.35">
      <c r="B224" s="14" t="s">
        <v>42</v>
      </c>
      <c r="C224" s="16"/>
      <c r="D224" s="16"/>
      <c r="E224" s="16"/>
      <c r="F224" s="16"/>
      <c r="G224" s="16"/>
      <c r="H224" s="20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spans="2:23" x14ac:dyDescent="0.35">
      <c r="B225" s="14" t="s">
        <v>43</v>
      </c>
      <c r="C225" s="17"/>
      <c r="D225" s="16"/>
      <c r="E225" s="16"/>
      <c r="F225" s="16"/>
      <c r="G225" s="17">
        <v>76570</v>
      </c>
      <c r="H225" s="17"/>
      <c r="I225" s="16"/>
      <c r="J225" s="16"/>
      <c r="K225" s="17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spans="2:23" x14ac:dyDescent="0.35">
      <c r="B226" s="14" t="s">
        <v>44</v>
      </c>
      <c r="C226" s="16"/>
      <c r="D226" s="17"/>
      <c r="E226" s="16"/>
      <c r="F226" s="16"/>
      <c r="G226" s="17"/>
      <c r="H226" s="16"/>
      <c r="I226" s="16"/>
      <c r="J226" s="16"/>
      <c r="K226" s="16"/>
      <c r="L226" s="17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spans="2:23" x14ac:dyDescent="0.35">
      <c r="B227" s="14" t="s">
        <v>26</v>
      </c>
      <c r="C227" s="16"/>
      <c r="D227" s="16"/>
      <c r="E227" s="14"/>
      <c r="F227" s="16"/>
      <c r="G227" s="16"/>
      <c r="H227" s="16"/>
      <c r="I227" s="17"/>
      <c r="J227" s="14"/>
      <c r="K227" s="17">
        <v>12828</v>
      </c>
      <c r="L227" s="16"/>
      <c r="M227" s="14"/>
      <c r="N227" s="14"/>
      <c r="O227" s="14"/>
      <c r="P227" s="16"/>
      <c r="Q227" s="16"/>
      <c r="R227" s="16"/>
      <c r="S227" s="16"/>
      <c r="T227" s="16"/>
      <c r="U227" s="16"/>
      <c r="V227" s="16"/>
      <c r="W227" s="16"/>
    </row>
    <row r="228" spans="2:23" x14ac:dyDescent="0.35">
      <c r="B228" s="14" t="s">
        <v>27</v>
      </c>
      <c r="C228" s="16"/>
      <c r="D228" s="16"/>
      <c r="E228" s="14"/>
      <c r="F228" s="16"/>
      <c r="G228" s="16"/>
      <c r="H228" s="16"/>
      <c r="I228" s="14"/>
      <c r="J228" s="14"/>
      <c r="K228" s="14"/>
      <c r="L228" s="16"/>
      <c r="M228" s="14"/>
      <c r="N228" s="14"/>
      <c r="O228" s="17">
        <v>597</v>
      </c>
      <c r="P228" s="16"/>
      <c r="Q228" s="16"/>
      <c r="R228" s="16"/>
      <c r="S228" s="16"/>
      <c r="T228" s="16"/>
      <c r="U228" s="16"/>
      <c r="V228" s="16"/>
      <c r="W228" s="16"/>
    </row>
    <row r="229" spans="2:23" x14ac:dyDescent="0.35">
      <c r="B229" s="14" t="s">
        <v>29</v>
      </c>
      <c r="C229" s="16"/>
      <c r="D229" s="16"/>
      <c r="E229" s="17"/>
      <c r="F229" s="16"/>
      <c r="G229" s="16"/>
      <c r="H229" s="16"/>
      <c r="I229" s="17"/>
      <c r="J229" s="17">
        <v>63742</v>
      </c>
      <c r="K229" s="17"/>
      <c r="L229" s="16"/>
      <c r="M229" s="14"/>
      <c r="N229" s="17"/>
      <c r="O229" s="14"/>
      <c r="P229" s="16"/>
      <c r="Q229" s="16"/>
      <c r="R229" s="16"/>
      <c r="S229" s="16"/>
      <c r="T229" s="16"/>
      <c r="U229" s="16"/>
      <c r="V229" s="16"/>
      <c r="W229" s="16"/>
    </row>
    <row r="230" spans="2:23" x14ac:dyDescent="0.35">
      <c r="B230" s="14" t="s">
        <v>32</v>
      </c>
      <c r="C230" s="16"/>
      <c r="D230" s="16"/>
      <c r="E230" s="17"/>
      <c r="F230" s="16"/>
      <c r="G230" s="16"/>
      <c r="H230" s="16"/>
      <c r="I230" s="17"/>
      <c r="J230" s="17"/>
      <c r="K230" s="14"/>
      <c r="L230" s="16"/>
      <c r="M230" s="17">
        <v>73782</v>
      </c>
      <c r="N230" s="14"/>
      <c r="O230" s="14"/>
      <c r="P230" s="16"/>
      <c r="Q230" s="16"/>
      <c r="R230" s="16"/>
      <c r="S230" s="16"/>
      <c r="T230" s="16"/>
      <c r="U230" s="16"/>
      <c r="V230" s="16"/>
      <c r="W230" s="16"/>
    </row>
    <row r="231" spans="2:23" x14ac:dyDescent="0.35">
      <c r="B231" s="14" t="s">
        <v>45</v>
      </c>
      <c r="C231" s="16"/>
      <c r="D231" s="16"/>
      <c r="E231" s="14"/>
      <c r="F231" s="16"/>
      <c r="G231" s="16"/>
      <c r="H231" s="16"/>
      <c r="I231" s="14"/>
      <c r="J231" s="17"/>
      <c r="K231" s="14"/>
      <c r="L231" s="16"/>
      <c r="M231" s="17">
        <v>1034</v>
      </c>
      <c r="N231" s="17"/>
      <c r="O231" s="14"/>
      <c r="P231" s="16"/>
      <c r="Q231" s="16"/>
      <c r="R231" s="16"/>
      <c r="S231" s="16"/>
      <c r="T231" s="16"/>
      <c r="U231" s="16"/>
      <c r="V231" s="16"/>
      <c r="W231" s="16"/>
    </row>
    <row r="233" spans="2:23" x14ac:dyDescent="0.35">
      <c r="B233" s="14">
        <v>11</v>
      </c>
      <c r="C233" s="14" t="s">
        <v>5</v>
      </c>
      <c r="D233" s="14" t="s">
        <v>17</v>
      </c>
      <c r="E233" s="14" t="s">
        <v>6</v>
      </c>
      <c r="F233" s="14" t="s">
        <v>19</v>
      </c>
      <c r="G233" s="14" t="s">
        <v>23</v>
      </c>
      <c r="H233" s="14" t="s">
        <v>24</v>
      </c>
      <c r="I233" s="14" t="s">
        <v>9</v>
      </c>
      <c r="J233" s="14" t="s">
        <v>10</v>
      </c>
      <c r="K233" s="14" t="s">
        <v>11</v>
      </c>
      <c r="L233" s="14" t="s">
        <v>34</v>
      </c>
      <c r="M233" s="14" t="s">
        <v>13</v>
      </c>
      <c r="N233" s="14" t="s">
        <v>14</v>
      </c>
      <c r="O233" s="14" t="s">
        <v>15</v>
      </c>
      <c r="P233" s="14" t="s">
        <v>42</v>
      </c>
      <c r="Q233" s="14" t="s">
        <v>43</v>
      </c>
      <c r="R233" s="14" t="s">
        <v>44</v>
      </c>
      <c r="S233" s="14" t="s">
        <v>26</v>
      </c>
      <c r="T233" s="14" t="s">
        <v>27</v>
      </c>
      <c r="U233" s="14" t="s">
        <v>29</v>
      </c>
      <c r="V233" s="14" t="s">
        <v>32</v>
      </c>
      <c r="W233" s="14" t="s">
        <v>45</v>
      </c>
    </row>
    <row r="234" spans="2:23" x14ac:dyDescent="0.35">
      <c r="B234" s="14" t="s">
        <v>5</v>
      </c>
      <c r="C234" s="16"/>
      <c r="D234" s="16"/>
      <c r="E234" s="16"/>
      <c r="F234" s="17"/>
      <c r="G234" s="16"/>
      <c r="H234" s="17">
        <v>28471</v>
      </c>
      <c r="I234" s="16"/>
      <c r="J234" s="17"/>
      <c r="K234" s="17"/>
      <c r="L234" s="16"/>
      <c r="M234" s="16"/>
      <c r="N234" s="16"/>
      <c r="O234" s="16"/>
      <c r="P234" s="16"/>
      <c r="Q234" s="17">
        <v>35271</v>
      </c>
      <c r="R234" s="16"/>
      <c r="S234" s="16"/>
      <c r="T234" s="16"/>
      <c r="U234" s="16"/>
      <c r="V234" s="16"/>
      <c r="W234" s="16"/>
    </row>
    <row r="235" spans="2:23" x14ac:dyDescent="0.35">
      <c r="B235" s="14" t="s">
        <v>17</v>
      </c>
      <c r="C235" s="16"/>
      <c r="D235" s="16"/>
      <c r="E235" s="16"/>
      <c r="F235" s="16"/>
      <c r="G235" s="17"/>
      <c r="H235" s="17"/>
      <c r="I235" s="16"/>
      <c r="J235" s="16"/>
      <c r="K235" s="16"/>
      <c r="L235" s="17"/>
      <c r="M235" s="16"/>
      <c r="N235" s="16"/>
      <c r="O235" s="16"/>
      <c r="P235" s="16"/>
      <c r="Q235" s="16"/>
      <c r="R235" s="17">
        <v>53819</v>
      </c>
      <c r="S235" s="16"/>
      <c r="T235" s="16"/>
      <c r="U235" s="16"/>
      <c r="V235" s="16"/>
      <c r="W235" s="16"/>
    </row>
    <row r="236" spans="2:23" x14ac:dyDescent="0.35">
      <c r="B236" s="14" t="s">
        <v>6</v>
      </c>
      <c r="C236" s="16"/>
      <c r="D236" s="16"/>
      <c r="E236" s="16"/>
      <c r="F236" s="16"/>
      <c r="G236" s="16"/>
      <c r="H236" s="16"/>
      <c r="I236" s="17"/>
      <c r="J236" s="16"/>
      <c r="K236" s="16"/>
      <c r="L236" s="16"/>
      <c r="M236" s="16"/>
      <c r="N236" s="17"/>
      <c r="O236" s="16"/>
      <c r="P236" s="16"/>
      <c r="Q236" s="16"/>
      <c r="R236" s="16"/>
      <c r="S236" s="14"/>
      <c r="T236" s="14"/>
      <c r="U236" s="14"/>
      <c r="V236" s="14"/>
      <c r="W236" s="14"/>
    </row>
    <row r="237" spans="2:23" x14ac:dyDescent="0.35">
      <c r="B237" s="14" t="s">
        <v>19</v>
      </c>
      <c r="C237" s="17"/>
      <c r="D237" s="16"/>
      <c r="E237" s="16"/>
      <c r="F237" s="16"/>
      <c r="G237" s="16"/>
      <c r="H237" s="17"/>
      <c r="I237" s="16"/>
      <c r="J237" s="16"/>
      <c r="K237" s="16"/>
      <c r="L237" s="16"/>
      <c r="M237" s="17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 spans="2:23" x14ac:dyDescent="0.35">
      <c r="B238" s="14" t="s">
        <v>23</v>
      </c>
      <c r="C238" s="16"/>
      <c r="D238" s="17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7">
        <v>9724</v>
      </c>
      <c r="P238" s="16"/>
      <c r="Q238" s="17"/>
      <c r="R238" s="17"/>
      <c r="S238" s="16"/>
      <c r="T238" s="16"/>
      <c r="U238" s="16"/>
      <c r="V238" s="16"/>
      <c r="W238" s="16"/>
    </row>
    <row r="239" spans="2:23" x14ac:dyDescent="0.35">
      <c r="B239" s="14" t="s">
        <v>24</v>
      </c>
      <c r="C239" s="17"/>
      <c r="D239" s="17">
        <v>53819</v>
      </c>
      <c r="E239" s="16"/>
      <c r="F239" s="17"/>
      <c r="G239" s="16"/>
      <c r="H239" s="16"/>
      <c r="I239" s="16"/>
      <c r="J239" s="16"/>
      <c r="K239" s="16"/>
      <c r="L239" s="17"/>
      <c r="M239" s="17"/>
      <c r="N239" s="16"/>
      <c r="O239" s="16"/>
      <c r="P239" s="20">
        <v>49468</v>
      </c>
      <c r="Q239" s="17"/>
      <c r="R239" s="16"/>
      <c r="S239" s="16"/>
      <c r="T239" s="16"/>
      <c r="U239" s="16"/>
      <c r="V239" s="16"/>
      <c r="W239" s="16"/>
    </row>
    <row r="240" spans="2:23" x14ac:dyDescent="0.35">
      <c r="B240" s="14" t="s">
        <v>9</v>
      </c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4"/>
      <c r="T240" s="14"/>
      <c r="U240" s="14"/>
      <c r="V240" s="14"/>
      <c r="W240" s="14"/>
    </row>
    <row r="241" spans="2:23" x14ac:dyDescent="0.35">
      <c r="B241" s="14" t="s">
        <v>10</v>
      </c>
      <c r="C241" s="17">
        <v>63742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7"/>
      <c r="O241" s="16"/>
      <c r="P241" s="16"/>
      <c r="Q241" s="16"/>
      <c r="R241" s="16"/>
      <c r="S241" s="14"/>
      <c r="T241" s="14"/>
      <c r="U241" s="14"/>
      <c r="V241" s="14"/>
      <c r="W241" s="14"/>
    </row>
    <row r="242" spans="2:23" x14ac:dyDescent="0.35">
      <c r="B242" s="14" t="s">
        <v>11</v>
      </c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7">
        <v>12828</v>
      </c>
      <c r="R242" s="16"/>
      <c r="S242" s="14"/>
      <c r="T242" s="14"/>
      <c r="U242" s="14"/>
      <c r="V242" s="14"/>
      <c r="W242" s="14"/>
    </row>
    <row r="243" spans="2:23" x14ac:dyDescent="0.35">
      <c r="B243" s="14" t="s">
        <v>34</v>
      </c>
      <c r="C243" s="16"/>
      <c r="D243" s="17"/>
      <c r="E243" s="16"/>
      <c r="F243" s="16"/>
      <c r="G243" s="16"/>
      <c r="H243" s="17"/>
      <c r="I243" s="16"/>
      <c r="J243" s="16"/>
      <c r="K243" s="16"/>
      <c r="L243" s="16"/>
      <c r="M243" s="16"/>
      <c r="N243" s="16"/>
      <c r="O243" s="16"/>
      <c r="P243" s="16"/>
      <c r="Q243" s="16"/>
      <c r="R243" s="17"/>
      <c r="S243" s="16"/>
      <c r="T243" s="16"/>
      <c r="U243" s="16"/>
      <c r="V243" s="16"/>
      <c r="W243" s="16"/>
    </row>
    <row r="244" spans="2:23" x14ac:dyDescent="0.35">
      <c r="B244" s="14" t="s">
        <v>13</v>
      </c>
      <c r="C244" s="16"/>
      <c r="D244" s="16"/>
      <c r="E244" s="16"/>
      <c r="F244" s="17"/>
      <c r="G244" s="16"/>
      <c r="H244" s="17">
        <v>74816</v>
      </c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4"/>
      <c r="T244" s="14"/>
      <c r="U244" s="14"/>
      <c r="V244" s="14"/>
      <c r="W244" s="14"/>
    </row>
    <row r="245" spans="2:23" x14ac:dyDescent="0.35">
      <c r="B245" s="14" t="s">
        <v>14</v>
      </c>
      <c r="C245" s="16"/>
      <c r="D245" s="16"/>
      <c r="E245" s="17"/>
      <c r="F245" s="16"/>
      <c r="G245" s="16"/>
      <c r="H245" s="16"/>
      <c r="I245" s="16"/>
      <c r="J245" s="17"/>
      <c r="K245" s="16"/>
      <c r="L245" s="16"/>
      <c r="M245" s="16"/>
      <c r="N245" s="16"/>
      <c r="O245" s="16"/>
      <c r="P245" s="16"/>
      <c r="Q245" s="16"/>
      <c r="R245" s="16"/>
      <c r="S245" s="14"/>
      <c r="T245" s="14"/>
      <c r="U245" s="14"/>
      <c r="V245" s="14"/>
      <c r="W245" s="14"/>
    </row>
    <row r="246" spans="2:23" x14ac:dyDescent="0.35">
      <c r="B246" s="14" t="s">
        <v>15</v>
      </c>
      <c r="C246" s="16"/>
      <c r="D246" s="16"/>
      <c r="E246" s="16"/>
      <c r="F246" s="16"/>
      <c r="G246" s="17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4"/>
      <c r="T246" s="14"/>
      <c r="U246" s="14"/>
      <c r="V246" s="14"/>
      <c r="W246" s="14"/>
    </row>
    <row r="247" spans="2:23" x14ac:dyDescent="0.35">
      <c r="B247" s="14" t="s">
        <v>42</v>
      </c>
      <c r="C247" s="16"/>
      <c r="D247" s="16"/>
      <c r="E247" s="16"/>
      <c r="F247" s="16"/>
      <c r="G247" s="16"/>
      <c r="H247" s="20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spans="2:23" x14ac:dyDescent="0.35">
      <c r="B248" s="14" t="s">
        <v>43</v>
      </c>
      <c r="C248" s="17"/>
      <c r="D248" s="16"/>
      <c r="E248" s="16"/>
      <c r="F248" s="16"/>
      <c r="G248" s="17">
        <v>48099</v>
      </c>
      <c r="H248" s="17"/>
      <c r="I248" s="16"/>
      <c r="J248" s="16"/>
      <c r="K248" s="17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spans="2:23" x14ac:dyDescent="0.35">
      <c r="B249" s="14" t="s">
        <v>44</v>
      </c>
      <c r="C249" s="16"/>
      <c r="D249" s="17"/>
      <c r="E249" s="16"/>
      <c r="F249" s="16"/>
      <c r="G249" s="17"/>
      <c r="H249" s="16"/>
      <c r="I249" s="16"/>
      <c r="J249" s="16"/>
      <c r="K249" s="16"/>
      <c r="L249" s="17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spans="2:23" x14ac:dyDescent="0.35">
      <c r="B250" s="14" t="s">
        <v>26</v>
      </c>
      <c r="C250" s="16"/>
      <c r="D250" s="16"/>
      <c r="E250" s="14"/>
      <c r="F250" s="16"/>
      <c r="G250" s="16"/>
      <c r="H250" s="16"/>
      <c r="I250" s="17"/>
      <c r="J250" s="14"/>
      <c r="K250" s="17">
        <v>12828</v>
      </c>
      <c r="L250" s="16"/>
      <c r="M250" s="14"/>
      <c r="N250" s="14"/>
      <c r="O250" s="14"/>
      <c r="P250" s="16"/>
      <c r="Q250" s="16"/>
      <c r="R250" s="16"/>
      <c r="S250" s="16"/>
      <c r="T250" s="16"/>
      <c r="U250" s="16"/>
      <c r="V250" s="16"/>
      <c r="W250" s="16"/>
    </row>
    <row r="251" spans="2:23" x14ac:dyDescent="0.35">
      <c r="B251" s="14" t="s">
        <v>27</v>
      </c>
      <c r="C251" s="16"/>
      <c r="D251" s="16"/>
      <c r="E251" s="14"/>
      <c r="F251" s="16"/>
      <c r="G251" s="16"/>
      <c r="H251" s="16"/>
      <c r="I251" s="14"/>
      <c r="J251" s="14"/>
      <c r="K251" s="14"/>
      <c r="L251" s="16"/>
      <c r="M251" s="14"/>
      <c r="N251" s="14"/>
      <c r="O251" s="17">
        <v>597</v>
      </c>
      <c r="P251" s="16"/>
      <c r="Q251" s="16"/>
      <c r="R251" s="16"/>
      <c r="S251" s="16"/>
      <c r="T251" s="16"/>
      <c r="U251" s="16"/>
      <c r="V251" s="16"/>
      <c r="W251" s="16"/>
    </row>
    <row r="252" spans="2:23" x14ac:dyDescent="0.35">
      <c r="B252" s="14" t="s">
        <v>29</v>
      </c>
      <c r="C252" s="16"/>
      <c r="D252" s="16"/>
      <c r="E252" s="17"/>
      <c r="F252" s="16"/>
      <c r="G252" s="16"/>
      <c r="H252" s="16"/>
      <c r="I252" s="17"/>
      <c r="J252" s="17">
        <v>63742</v>
      </c>
      <c r="K252" s="17"/>
      <c r="L252" s="16"/>
      <c r="M252" s="14"/>
      <c r="N252" s="17"/>
      <c r="O252" s="14"/>
      <c r="P252" s="16"/>
      <c r="Q252" s="16"/>
      <c r="R252" s="16"/>
      <c r="S252" s="16"/>
      <c r="T252" s="16"/>
      <c r="U252" s="16"/>
      <c r="V252" s="16"/>
      <c r="W252" s="16"/>
    </row>
    <row r="253" spans="2:23" x14ac:dyDescent="0.35">
      <c r="B253" s="14" t="s">
        <v>32</v>
      </c>
      <c r="C253" s="16"/>
      <c r="D253" s="16"/>
      <c r="E253" s="17"/>
      <c r="F253" s="16"/>
      <c r="G253" s="16"/>
      <c r="H253" s="16"/>
      <c r="I253" s="17"/>
      <c r="J253" s="17"/>
      <c r="K253" s="14"/>
      <c r="L253" s="16"/>
      <c r="M253" s="17">
        <v>73782</v>
      </c>
      <c r="N253" s="14"/>
      <c r="O253" s="14"/>
      <c r="P253" s="16"/>
      <c r="Q253" s="16"/>
      <c r="R253" s="16"/>
      <c r="S253" s="16"/>
      <c r="T253" s="16"/>
      <c r="U253" s="16"/>
      <c r="V253" s="16"/>
      <c r="W253" s="16"/>
    </row>
    <row r="254" spans="2:23" x14ac:dyDescent="0.35">
      <c r="B254" s="14" t="s">
        <v>45</v>
      </c>
      <c r="C254" s="16"/>
      <c r="D254" s="16"/>
      <c r="E254" s="14"/>
      <c r="F254" s="16"/>
      <c r="G254" s="16"/>
      <c r="H254" s="16"/>
      <c r="I254" s="14"/>
      <c r="J254" s="17"/>
      <c r="K254" s="14"/>
      <c r="L254" s="16"/>
      <c r="M254" s="17">
        <v>1034</v>
      </c>
      <c r="N254" s="17"/>
      <c r="O254" s="14"/>
      <c r="P254" s="16"/>
      <c r="Q254" s="16"/>
      <c r="R254" s="16"/>
      <c r="S254" s="16"/>
      <c r="T254" s="16"/>
      <c r="U254" s="16"/>
      <c r="V254" s="16"/>
      <c r="W254" s="16"/>
    </row>
    <row r="256" spans="2:23" x14ac:dyDescent="0.35">
      <c r="B256" s="14">
        <v>12</v>
      </c>
      <c r="C256" s="14" t="s">
        <v>5</v>
      </c>
      <c r="D256" s="14" t="s">
        <v>17</v>
      </c>
      <c r="E256" s="14" t="s">
        <v>6</v>
      </c>
      <c r="F256" s="14" t="s">
        <v>19</v>
      </c>
      <c r="G256" s="14" t="s">
        <v>23</v>
      </c>
      <c r="H256" s="14" t="s">
        <v>24</v>
      </c>
      <c r="I256" s="14" t="s">
        <v>9</v>
      </c>
      <c r="J256" s="14" t="s">
        <v>10</v>
      </c>
      <c r="K256" s="14" t="s">
        <v>11</v>
      </c>
      <c r="L256" s="14" t="s">
        <v>34</v>
      </c>
      <c r="M256" s="14" t="s">
        <v>13</v>
      </c>
      <c r="N256" s="14" t="s">
        <v>14</v>
      </c>
      <c r="O256" s="14" t="s">
        <v>15</v>
      </c>
      <c r="P256" s="14" t="s">
        <v>42</v>
      </c>
      <c r="Q256" s="14" t="s">
        <v>43</v>
      </c>
      <c r="R256" s="14" t="s">
        <v>44</v>
      </c>
      <c r="S256" s="14" t="s">
        <v>26</v>
      </c>
      <c r="T256" s="14" t="s">
        <v>27</v>
      </c>
      <c r="U256" s="14" t="s">
        <v>29</v>
      </c>
      <c r="V256" s="14" t="s">
        <v>32</v>
      </c>
      <c r="W256" s="14" t="s">
        <v>45</v>
      </c>
    </row>
    <row r="257" spans="2:23" x14ac:dyDescent="0.35">
      <c r="B257" s="14" t="s">
        <v>5</v>
      </c>
      <c r="C257" s="16"/>
      <c r="D257" s="16"/>
      <c r="E257" s="16"/>
      <c r="F257" s="17"/>
      <c r="G257" s="16"/>
      <c r="H257" s="17"/>
      <c r="I257" s="16"/>
      <c r="J257" s="17"/>
      <c r="K257" s="17"/>
      <c r="L257" s="16"/>
      <c r="M257" s="16"/>
      <c r="N257" s="16"/>
      <c r="O257" s="16"/>
      <c r="P257" s="16"/>
      <c r="Q257" s="17">
        <v>64776</v>
      </c>
      <c r="R257" s="16"/>
      <c r="S257" s="16"/>
      <c r="T257" s="16"/>
      <c r="U257" s="16"/>
      <c r="V257" s="16"/>
      <c r="W257" s="16"/>
    </row>
    <row r="258" spans="2:23" x14ac:dyDescent="0.35">
      <c r="B258" s="14" t="s">
        <v>17</v>
      </c>
      <c r="C258" s="16"/>
      <c r="D258" s="16"/>
      <c r="E258" s="16"/>
      <c r="F258" s="16"/>
      <c r="G258" s="17">
        <v>73782</v>
      </c>
      <c r="H258" s="17"/>
      <c r="I258" s="16"/>
      <c r="J258" s="16"/>
      <c r="K258" s="16"/>
      <c r="L258" s="17"/>
      <c r="M258" s="16"/>
      <c r="N258" s="16"/>
      <c r="O258" s="16"/>
      <c r="P258" s="16"/>
      <c r="Q258" s="16"/>
      <c r="R258" s="17"/>
      <c r="S258" s="16"/>
      <c r="T258" s="16"/>
      <c r="U258" s="16"/>
      <c r="V258" s="16"/>
      <c r="W258" s="16"/>
    </row>
    <row r="259" spans="2:23" x14ac:dyDescent="0.35">
      <c r="B259" s="14" t="s">
        <v>6</v>
      </c>
      <c r="C259" s="16"/>
      <c r="D259" s="16"/>
      <c r="E259" s="16"/>
      <c r="F259" s="16"/>
      <c r="G259" s="16"/>
      <c r="H259" s="16"/>
      <c r="I259" s="17"/>
      <c r="J259" s="16"/>
      <c r="K259" s="16"/>
      <c r="L259" s="16"/>
      <c r="M259" s="16"/>
      <c r="N259" s="17"/>
      <c r="O259" s="16"/>
      <c r="P259" s="16"/>
      <c r="Q259" s="16"/>
      <c r="R259" s="16"/>
      <c r="S259" s="14"/>
      <c r="T259" s="14"/>
      <c r="U259" s="14"/>
      <c r="V259" s="14"/>
      <c r="W259" s="14"/>
    </row>
    <row r="260" spans="2:23" x14ac:dyDescent="0.35">
      <c r="B260" s="14" t="s">
        <v>19</v>
      </c>
      <c r="C260" s="17"/>
      <c r="D260" s="16"/>
      <c r="E260" s="16"/>
      <c r="F260" s="16"/>
      <c r="G260" s="16"/>
      <c r="H260" s="17"/>
      <c r="I260" s="16"/>
      <c r="J260" s="16"/>
      <c r="K260" s="16"/>
      <c r="L260" s="16"/>
      <c r="M260" s="17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spans="2:23" x14ac:dyDescent="0.35">
      <c r="B261" s="14" t="s">
        <v>23</v>
      </c>
      <c r="C261" s="16"/>
      <c r="D261" s="17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7">
        <v>101955</v>
      </c>
      <c r="P261" s="16"/>
      <c r="Q261" s="17"/>
      <c r="R261" s="17"/>
      <c r="S261" s="16"/>
      <c r="T261" s="16"/>
      <c r="U261" s="16"/>
      <c r="V261" s="16"/>
      <c r="W261" s="16"/>
    </row>
    <row r="262" spans="2:23" x14ac:dyDescent="0.35">
      <c r="B262" s="14" t="s">
        <v>24</v>
      </c>
      <c r="C262" s="17"/>
      <c r="D262" s="17">
        <v>73782</v>
      </c>
      <c r="E262" s="16"/>
      <c r="F262" s="17"/>
      <c r="G262" s="16"/>
      <c r="H262" s="16"/>
      <c r="I262" s="16"/>
      <c r="J262" s="16"/>
      <c r="K262" s="16"/>
      <c r="L262" s="17"/>
      <c r="M262" s="17"/>
      <c r="N262" s="16"/>
      <c r="O262" s="16"/>
      <c r="P262" s="20"/>
      <c r="Q262" s="17"/>
      <c r="R262" s="16"/>
      <c r="S262" s="16"/>
      <c r="T262" s="16"/>
      <c r="U262" s="16"/>
      <c r="V262" s="16"/>
      <c r="W262" s="16"/>
    </row>
    <row r="263" spans="2:23" x14ac:dyDescent="0.35">
      <c r="B263" s="14" t="s">
        <v>9</v>
      </c>
      <c r="C263" s="16">
        <v>64776</v>
      </c>
      <c r="D263" s="16"/>
      <c r="E263" s="17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4"/>
      <c r="T263" s="14"/>
      <c r="U263" s="14"/>
      <c r="V263" s="14"/>
      <c r="W263" s="14"/>
    </row>
    <row r="264" spans="2:23" x14ac:dyDescent="0.35">
      <c r="B264" s="14" t="s">
        <v>10</v>
      </c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7"/>
      <c r="O264" s="16"/>
      <c r="P264" s="16"/>
      <c r="Q264" s="16"/>
      <c r="R264" s="16"/>
      <c r="S264" s="14"/>
      <c r="T264" s="14"/>
      <c r="U264" s="14"/>
      <c r="V264" s="14"/>
      <c r="W264" s="14"/>
    </row>
    <row r="265" spans="2:23" x14ac:dyDescent="0.35">
      <c r="B265" s="14" t="s">
        <v>11</v>
      </c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7">
        <v>12828</v>
      </c>
      <c r="R265" s="16"/>
      <c r="S265" s="14"/>
      <c r="T265" s="14"/>
      <c r="U265" s="14"/>
      <c r="V265" s="14"/>
      <c r="W265" s="14"/>
    </row>
    <row r="266" spans="2:23" x14ac:dyDescent="0.35">
      <c r="B266" s="14" t="s">
        <v>34</v>
      </c>
      <c r="C266" s="16"/>
      <c r="D266" s="17"/>
      <c r="E266" s="16"/>
      <c r="F266" s="16"/>
      <c r="G266" s="16"/>
      <c r="H266" s="17"/>
      <c r="I266" s="16"/>
      <c r="J266" s="16"/>
      <c r="K266" s="16"/>
      <c r="L266" s="16"/>
      <c r="M266" s="16"/>
      <c r="N266" s="16"/>
      <c r="O266" s="16"/>
      <c r="P266" s="16"/>
      <c r="Q266" s="16"/>
      <c r="R266" s="17"/>
      <c r="S266" s="16"/>
      <c r="T266" s="16"/>
      <c r="U266" s="16"/>
      <c r="V266" s="16"/>
      <c r="W266" s="16"/>
    </row>
    <row r="267" spans="2:23" x14ac:dyDescent="0.35">
      <c r="B267" s="14" t="s">
        <v>13</v>
      </c>
      <c r="C267" s="16"/>
      <c r="D267" s="16"/>
      <c r="E267" s="16"/>
      <c r="F267" s="17"/>
      <c r="G267" s="16"/>
      <c r="H267" s="17">
        <v>73782</v>
      </c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4"/>
      <c r="T267" s="14"/>
      <c r="U267" s="14"/>
      <c r="V267" s="14"/>
      <c r="W267" s="14"/>
    </row>
    <row r="268" spans="2:23" x14ac:dyDescent="0.35">
      <c r="B268" s="14" t="s">
        <v>14</v>
      </c>
      <c r="C268" s="16"/>
      <c r="D268" s="16"/>
      <c r="E268" s="17"/>
      <c r="F268" s="16"/>
      <c r="G268" s="16"/>
      <c r="H268" s="16"/>
      <c r="I268" s="16"/>
      <c r="J268" s="17"/>
      <c r="K268" s="16"/>
      <c r="L268" s="16"/>
      <c r="M268" s="16"/>
      <c r="N268" s="16"/>
      <c r="O268" s="16"/>
      <c r="P268" s="16"/>
      <c r="Q268" s="16"/>
      <c r="R268" s="16"/>
      <c r="S268" s="14"/>
      <c r="T268" s="14"/>
      <c r="U268" s="14"/>
      <c r="V268" s="14"/>
      <c r="W268" s="14"/>
    </row>
    <row r="269" spans="2:23" x14ac:dyDescent="0.35">
      <c r="B269" s="14" t="s">
        <v>15</v>
      </c>
      <c r="C269" s="16"/>
      <c r="D269" s="16"/>
      <c r="E269" s="16"/>
      <c r="F269" s="16"/>
      <c r="G269" s="17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4"/>
      <c r="T269" s="14"/>
      <c r="U269" s="14"/>
      <c r="V269" s="14"/>
      <c r="W269" s="14"/>
    </row>
    <row r="270" spans="2:23" x14ac:dyDescent="0.35">
      <c r="B270" s="14" t="s">
        <v>42</v>
      </c>
      <c r="C270" s="16"/>
      <c r="D270" s="16"/>
      <c r="E270" s="16"/>
      <c r="F270" s="16"/>
      <c r="G270" s="16"/>
      <c r="H270" s="20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spans="2:23" x14ac:dyDescent="0.35">
      <c r="B271" s="14" t="s">
        <v>43</v>
      </c>
      <c r="C271" s="17"/>
      <c r="D271" s="16"/>
      <c r="E271" s="16"/>
      <c r="F271" s="16"/>
      <c r="G271" s="17">
        <v>77604</v>
      </c>
      <c r="H271" s="17"/>
      <c r="I271" s="16"/>
      <c r="J271" s="16"/>
      <c r="K271" s="17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spans="2:23" x14ac:dyDescent="0.35">
      <c r="B272" s="14" t="s">
        <v>44</v>
      </c>
      <c r="C272" s="16"/>
      <c r="D272" s="17"/>
      <c r="E272" s="16"/>
      <c r="F272" s="16"/>
      <c r="G272" s="17"/>
      <c r="H272" s="16"/>
      <c r="I272" s="16"/>
      <c r="J272" s="16"/>
      <c r="K272" s="16"/>
      <c r="L272" s="17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spans="2:23" x14ac:dyDescent="0.35">
      <c r="B273" s="14" t="s">
        <v>26</v>
      </c>
      <c r="C273" s="16"/>
      <c r="D273" s="16"/>
      <c r="E273" s="14"/>
      <c r="F273" s="16"/>
      <c r="G273" s="16"/>
      <c r="H273" s="16"/>
      <c r="I273" s="17"/>
      <c r="J273" s="14"/>
      <c r="K273" s="17">
        <v>12828</v>
      </c>
      <c r="L273" s="16"/>
      <c r="M273" s="14"/>
      <c r="N273" s="14"/>
      <c r="O273" s="14"/>
      <c r="P273" s="16"/>
      <c r="Q273" s="16"/>
      <c r="R273" s="16"/>
      <c r="S273" s="16"/>
      <c r="T273" s="16"/>
      <c r="U273" s="16"/>
      <c r="V273" s="16"/>
      <c r="W273" s="16"/>
    </row>
    <row r="274" spans="2:23" x14ac:dyDescent="0.35">
      <c r="B274" s="14" t="s">
        <v>27</v>
      </c>
      <c r="C274" s="16"/>
      <c r="D274" s="16"/>
      <c r="E274" s="14"/>
      <c r="F274" s="16"/>
      <c r="G274" s="16"/>
      <c r="H274" s="16"/>
      <c r="I274" s="14"/>
      <c r="J274" s="14"/>
      <c r="K274" s="14"/>
      <c r="L274" s="16"/>
      <c r="M274" s="14"/>
      <c r="N274" s="14"/>
      <c r="O274" s="17">
        <v>597</v>
      </c>
      <c r="P274" s="16"/>
      <c r="Q274" s="16"/>
      <c r="R274" s="16"/>
      <c r="S274" s="16"/>
      <c r="T274" s="16"/>
      <c r="U274" s="16"/>
      <c r="V274" s="16"/>
      <c r="W274" s="16"/>
    </row>
    <row r="275" spans="2:23" x14ac:dyDescent="0.35">
      <c r="B275" s="14" t="s">
        <v>29</v>
      </c>
      <c r="C275" s="16"/>
      <c r="D275" s="16"/>
      <c r="E275" s="17"/>
      <c r="F275" s="16"/>
      <c r="G275" s="16"/>
      <c r="H275" s="16"/>
      <c r="I275" s="17"/>
      <c r="J275" s="17">
        <v>63742</v>
      </c>
      <c r="K275" s="17"/>
      <c r="L275" s="16"/>
      <c r="M275" s="14"/>
      <c r="N275" s="17"/>
      <c r="O275" s="14"/>
      <c r="P275" s="16"/>
      <c r="Q275" s="16"/>
      <c r="R275" s="16"/>
      <c r="S275" s="16"/>
      <c r="T275" s="16"/>
      <c r="U275" s="16"/>
      <c r="V275" s="16"/>
      <c r="W275" s="16"/>
    </row>
    <row r="276" spans="2:23" x14ac:dyDescent="0.35">
      <c r="B276" s="14" t="s">
        <v>32</v>
      </c>
      <c r="C276" s="16"/>
      <c r="D276" s="16"/>
      <c r="E276" s="17"/>
      <c r="F276" s="16"/>
      <c r="G276" s="16"/>
      <c r="H276" s="16"/>
      <c r="I276" s="17"/>
      <c r="J276" s="17"/>
      <c r="K276" s="14"/>
      <c r="L276" s="16"/>
      <c r="M276" s="17">
        <v>73782</v>
      </c>
      <c r="N276" s="14"/>
      <c r="O276" s="14"/>
      <c r="P276" s="16"/>
      <c r="Q276" s="16"/>
      <c r="R276" s="16"/>
      <c r="S276" s="16"/>
      <c r="T276" s="16"/>
      <c r="U276" s="16"/>
      <c r="V276" s="16"/>
      <c r="W276" s="16"/>
    </row>
    <row r="277" spans="2:23" x14ac:dyDescent="0.35">
      <c r="B277" s="14" t="s">
        <v>45</v>
      </c>
      <c r="C277" s="16"/>
      <c r="D277" s="16"/>
      <c r="E277" s="14"/>
      <c r="F277" s="16"/>
      <c r="G277" s="16"/>
      <c r="H277" s="16"/>
      <c r="I277" s="14"/>
      <c r="J277" s="17">
        <v>1034</v>
      </c>
      <c r="K277" s="14"/>
      <c r="L277" s="16"/>
      <c r="M277" s="17"/>
      <c r="N277" s="17"/>
      <c r="O277" s="14"/>
      <c r="P277" s="16"/>
      <c r="Q277" s="16"/>
      <c r="R277" s="16"/>
      <c r="S277" s="16"/>
      <c r="T277" s="16"/>
      <c r="U277" s="16"/>
      <c r="V277" s="16"/>
      <c r="W277" s="16"/>
    </row>
  </sheetData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276"/>
  <sheetViews>
    <sheetView topLeftCell="A181" zoomScale="80" zoomScaleNormal="80" workbookViewId="0">
      <selection activeCell="Q187" sqref="Q187"/>
    </sheetView>
  </sheetViews>
  <sheetFormatPr defaultRowHeight="15.5" x14ac:dyDescent="0.35"/>
  <sheetData>
    <row r="2" spans="2:23" x14ac:dyDescent="0.35">
      <c r="B2">
        <v>1</v>
      </c>
      <c r="C2" s="14" t="s">
        <v>5</v>
      </c>
      <c r="D2" s="14" t="s">
        <v>17</v>
      </c>
      <c r="E2" s="14" t="s">
        <v>6</v>
      </c>
      <c r="F2" s="14" t="s">
        <v>19</v>
      </c>
      <c r="G2" s="14" t="s">
        <v>23</v>
      </c>
      <c r="H2" s="14" t="s">
        <v>24</v>
      </c>
      <c r="I2" t="s">
        <v>9</v>
      </c>
      <c r="J2" s="14" t="s">
        <v>10</v>
      </c>
      <c r="K2" s="14" t="s">
        <v>11</v>
      </c>
      <c r="L2" s="14" t="s">
        <v>34</v>
      </c>
      <c r="M2" s="14" t="s">
        <v>13</v>
      </c>
      <c r="N2" s="14" t="s">
        <v>14</v>
      </c>
      <c r="O2" s="14" t="s">
        <v>15</v>
      </c>
      <c r="P2" s="14" t="s">
        <v>42</v>
      </c>
      <c r="Q2" s="14" t="s">
        <v>43</v>
      </c>
      <c r="R2" s="14" t="s">
        <v>44</v>
      </c>
      <c r="S2" s="14"/>
      <c r="T2" s="14"/>
      <c r="U2" s="14"/>
      <c r="V2" s="14"/>
      <c r="W2" s="14"/>
    </row>
    <row r="3" spans="2:23" x14ac:dyDescent="0.35">
      <c r="B3" s="14" t="s">
        <v>5</v>
      </c>
      <c r="C3" s="16"/>
      <c r="D3" s="16"/>
      <c r="E3" s="16"/>
      <c r="F3" s="17">
        <v>14764</v>
      </c>
      <c r="G3" s="16"/>
      <c r="H3" s="17"/>
      <c r="I3" s="16"/>
      <c r="J3" s="17"/>
      <c r="K3" s="17"/>
      <c r="L3" s="16"/>
      <c r="M3" s="16"/>
      <c r="N3" s="16"/>
      <c r="O3" s="16"/>
      <c r="P3" s="16"/>
      <c r="Q3" s="17"/>
      <c r="R3" s="16"/>
      <c r="S3" s="16"/>
      <c r="T3" s="16"/>
      <c r="U3" s="16"/>
      <c r="V3" s="16"/>
      <c r="W3" s="16"/>
    </row>
    <row r="4" spans="2:23" x14ac:dyDescent="0.35">
      <c r="B4" s="14" t="s">
        <v>17</v>
      </c>
      <c r="C4" s="16"/>
      <c r="D4" s="16"/>
      <c r="E4" s="16"/>
      <c r="F4" s="16"/>
      <c r="G4" s="17"/>
      <c r="H4" s="17"/>
      <c r="I4" s="16"/>
      <c r="J4" s="16"/>
      <c r="K4" s="16"/>
      <c r="L4" s="17"/>
      <c r="M4" s="16"/>
      <c r="N4" s="16"/>
      <c r="O4" s="16"/>
      <c r="P4" s="16"/>
      <c r="Q4" s="16"/>
      <c r="R4" s="17"/>
      <c r="S4" s="16"/>
      <c r="T4" s="16"/>
      <c r="U4" s="16"/>
      <c r="V4" s="16"/>
      <c r="W4" s="16"/>
    </row>
    <row r="5" spans="2:23" x14ac:dyDescent="0.35">
      <c r="B5" s="14" t="s">
        <v>6</v>
      </c>
      <c r="C5" s="16"/>
      <c r="D5" s="16"/>
      <c r="E5" s="16"/>
      <c r="F5" s="16"/>
      <c r="G5" s="16"/>
      <c r="H5" s="16"/>
      <c r="I5" s="17"/>
      <c r="J5" s="16"/>
      <c r="K5" s="16"/>
      <c r="L5" s="16"/>
      <c r="M5" s="16"/>
      <c r="N5" s="17">
        <v>47634</v>
      </c>
      <c r="O5" s="16"/>
      <c r="P5" s="16"/>
      <c r="Q5" s="16"/>
      <c r="R5" s="16"/>
      <c r="S5" s="14"/>
      <c r="T5" s="14"/>
      <c r="U5" s="14"/>
      <c r="V5" s="14"/>
      <c r="W5" s="14"/>
    </row>
    <row r="6" spans="2:23" x14ac:dyDescent="0.35">
      <c r="B6" s="14" t="s">
        <v>19</v>
      </c>
      <c r="C6" s="17"/>
      <c r="D6" s="16"/>
      <c r="E6" s="16"/>
      <c r="F6" s="16"/>
      <c r="G6" s="16"/>
      <c r="H6" s="17"/>
      <c r="I6" s="16"/>
      <c r="J6" s="16"/>
      <c r="K6" s="16"/>
      <c r="L6" s="16"/>
      <c r="M6" s="17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2:23" x14ac:dyDescent="0.35">
      <c r="B7" s="14" t="s">
        <v>23</v>
      </c>
      <c r="C7" s="16"/>
      <c r="D7" s="17"/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  <c r="P7" s="16"/>
      <c r="Q7" s="17"/>
      <c r="R7" s="17"/>
      <c r="S7" s="16"/>
      <c r="T7" s="16"/>
      <c r="U7" s="16"/>
      <c r="V7" s="16"/>
      <c r="W7" s="16"/>
    </row>
    <row r="8" spans="2:23" x14ac:dyDescent="0.35">
      <c r="B8" s="14" t="s">
        <v>24</v>
      </c>
      <c r="C8" s="17"/>
      <c r="D8" s="17"/>
      <c r="E8" s="16"/>
      <c r="F8" s="17"/>
      <c r="G8" s="16"/>
      <c r="H8" s="16"/>
      <c r="I8" s="16"/>
      <c r="J8" s="16"/>
      <c r="K8" s="16"/>
      <c r="L8" s="17"/>
      <c r="M8" s="17"/>
      <c r="N8" s="16"/>
      <c r="O8" s="16"/>
      <c r="P8" s="20"/>
      <c r="Q8" s="17"/>
      <c r="R8" s="16"/>
      <c r="S8" s="16"/>
      <c r="T8" s="16"/>
      <c r="U8" s="16"/>
      <c r="V8" s="16"/>
      <c r="W8" s="16"/>
    </row>
    <row r="9" spans="2:23" x14ac:dyDescent="0.35">
      <c r="B9" s="14" t="s">
        <v>9</v>
      </c>
      <c r="C9" s="16"/>
      <c r="D9" s="16"/>
      <c r="E9" s="17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4"/>
      <c r="T9" s="14"/>
      <c r="U9" s="14"/>
      <c r="V9" s="14"/>
      <c r="W9" s="14"/>
    </row>
    <row r="10" spans="2:23" x14ac:dyDescent="0.35">
      <c r="B10" s="14" t="s">
        <v>10</v>
      </c>
      <c r="C10" s="17">
        <v>53958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/>
      <c r="O10" s="16"/>
      <c r="P10" s="16"/>
      <c r="Q10" s="16"/>
      <c r="R10" s="16"/>
      <c r="S10" s="14"/>
      <c r="T10" s="14"/>
      <c r="U10" s="14"/>
      <c r="V10" s="14"/>
      <c r="W10" s="14"/>
    </row>
    <row r="11" spans="2:23" x14ac:dyDescent="0.35">
      <c r="B11" s="14" t="s">
        <v>11</v>
      </c>
      <c r="C11" s="17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7"/>
      <c r="R11" s="16"/>
      <c r="S11" s="14"/>
      <c r="T11" s="14"/>
      <c r="U11" s="14"/>
      <c r="V11" s="14"/>
      <c r="W11" s="14"/>
    </row>
    <row r="12" spans="2:23" x14ac:dyDescent="0.35">
      <c r="B12" s="14" t="s">
        <v>34</v>
      </c>
      <c r="C12" s="16"/>
      <c r="D12" s="17"/>
      <c r="E12" s="16"/>
      <c r="F12" s="16"/>
      <c r="G12" s="16"/>
      <c r="H12" s="17"/>
      <c r="I12" s="16"/>
      <c r="J12" s="16"/>
      <c r="K12" s="16"/>
      <c r="L12" s="16"/>
      <c r="M12" s="16"/>
      <c r="N12" s="16"/>
      <c r="O12" s="16"/>
      <c r="P12" s="16"/>
      <c r="Q12" s="16"/>
      <c r="R12" s="17"/>
      <c r="S12" s="16"/>
      <c r="T12" s="16"/>
      <c r="U12" s="16"/>
      <c r="V12" s="16"/>
      <c r="W12" s="16"/>
    </row>
    <row r="13" spans="2:23" x14ac:dyDescent="0.35">
      <c r="B13" s="14" t="s">
        <v>13</v>
      </c>
      <c r="C13" s="16"/>
      <c r="D13" s="16"/>
      <c r="E13" s="16"/>
      <c r="F13" s="17"/>
      <c r="G13" s="16"/>
      <c r="H13" s="17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4"/>
      <c r="T13" s="14"/>
      <c r="U13" s="14"/>
      <c r="V13" s="14"/>
      <c r="W13" s="14"/>
    </row>
    <row r="14" spans="2:23" x14ac:dyDescent="0.35">
      <c r="B14" s="14" t="s">
        <v>14</v>
      </c>
      <c r="C14" s="16"/>
      <c r="D14" s="16"/>
      <c r="E14" s="17"/>
      <c r="F14" s="16"/>
      <c r="G14" s="16"/>
      <c r="H14" s="16"/>
      <c r="I14" s="16"/>
      <c r="J14" s="17">
        <v>3610</v>
      </c>
      <c r="K14" s="16"/>
      <c r="L14" s="16"/>
      <c r="M14" s="16"/>
      <c r="N14" s="16"/>
      <c r="O14" s="16"/>
      <c r="P14" s="16"/>
      <c r="Q14" s="16"/>
      <c r="R14" s="16"/>
      <c r="S14" s="14"/>
      <c r="T14" s="14"/>
      <c r="U14" s="14"/>
      <c r="V14" s="14"/>
      <c r="W14" s="14"/>
    </row>
    <row r="15" spans="2:23" x14ac:dyDescent="0.35">
      <c r="B15" s="14" t="s">
        <v>15</v>
      </c>
      <c r="C15" s="16"/>
      <c r="D15" s="16"/>
      <c r="E15" s="16"/>
      <c r="F15" s="16"/>
      <c r="G15" s="17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4"/>
      <c r="T15" s="14"/>
      <c r="U15" s="14"/>
      <c r="V15" s="14"/>
      <c r="W15" s="14"/>
    </row>
    <row r="16" spans="2:23" x14ac:dyDescent="0.35">
      <c r="B16" s="14" t="s">
        <v>42</v>
      </c>
      <c r="C16" s="16"/>
      <c r="D16" s="16"/>
      <c r="E16" s="16"/>
      <c r="F16" s="16"/>
      <c r="G16" s="16"/>
      <c r="H16" s="20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2:23" x14ac:dyDescent="0.35">
      <c r="B17" s="14" t="s">
        <v>43</v>
      </c>
      <c r="C17" s="17"/>
      <c r="D17" s="16"/>
      <c r="E17" s="16"/>
      <c r="F17" s="16"/>
      <c r="G17" s="17"/>
      <c r="H17" s="17"/>
      <c r="I17" s="16"/>
      <c r="J17" s="16"/>
      <c r="K17" s="17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2:23" x14ac:dyDescent="0.35">
      <c r="B18" s="14" t="s">
        <v>44</v>
      </c>
      <c r="C18" s="16"/>
      <c r="D18" s="17"/>
      <c r="E18" s="16"/>
      <c r="F18" s="16"/>
      <c r="G18" s="17"/>
      <c r="H18" s="16"/>
      <c r="I18" s="16"/>
      <c r="J18" s="16"/>
      <c r="K18" s="16"/>
      <c r="L18" s="17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2:23" x14ac:dyDescent="0.35">
      <c r="B19" s="14" t="s">
        <v>26</v>
      </c>
      <c r="C19" s="16"/>
      <c r="D19" s="16"/>
      <c r="E19" s="14"/>
      <c r="F19" s="16"/>
      <c r="G19" s="16"/>
      <c r="H19" s="16"/>
      <c r="I19" s="16"/>
      <c r="J19" s="14"/>
      <c r="K19" s="17">
        <v>12828</v>
      </c>
      <c r="L19" s="16"/>
      <c r="M19" s="14"/>
      <c r="N19" s="14"/>
      <c r="O19" s="14"/>
      <c r="P19" s="16"/>
      <c r="Q19" s="16"/>
      <c r="R19" s="16"/>
      <c r="S19" s="16"/>
      <c r="T19" s="16"/>
      <c r="U19" s="16"/>
      <c r="V19" s="16"/>
      <c r="W19" s="16"/>
    </row>
    <row r="20" spans="2:23" x14ac:dyDescent="0.35">
      <c r="B20" s="14" t="s">
        <v>27</v>
      </c>
      <c r="C20" s="16"/>
      <c r="D20" s="16"/>
      <c r="E20" s="14"/>
      <c r="F20" s="16"/>
      <c r="G20" s="16"/>
      <c r="H20" s="16"/>
      <c r="I20" s="16"/>
      <c r="J20" s="14"/>
      <c r="K20" s="14"/>
      <c r="L20" s="16"/>
      <c r="M20" s="14"/>
      <c r="N20" s="14"/>
      <c r="O20" s="17">
        <v>597</v>
      </c>
      <c r="P20" s="16"/>
      <c r="Q20" s="16"/>
      <c r="R20" s="16"/>
      <c r="S20" s="16"/>
      <c r="T20" s="16"/>
      <c r="U20" s="16"/>
      <c r="V20" s="16"/>
      <c r="W20" s="16"/>
    </row>
    <row r="21" spans="2:23" x14ac:dyDescent="0.35">
      <c r="B21" s="14" t="s">
        <v>29</v>
      </c>
      <c r="C21" s="16"/>
      <c r="D21" s="16"/>
      <c r="E21" s="17"/>
      <c r="F21" s="16"/>
      <c r="G21" s="16"/>
      <c r="H21" s="16"/>
      <c r="I21" s="17"/>
      <c r="J21" s="17">
        <v>63742</v>
      </c>
      <c r="K21" s="16"/>
      <c r="L21" s="16"/>
      <c r="M21" s="14"/>
      <c r="N21" s="17"/>
      <c r="O21" s="14"/>
      <c r="P21" s="16"/>
      <c r="Q21" s="16"/>
      <c r="R21" s="16"/>
      <c r="S21" s="16"/>
      <c r="T21" s="16"/>
      <c r="U21" s="16"/>
      <c r="V21" s="16"/>
      <c r="W21" s="16"/>
    </row>
    <row r="22" spans="2:23" x14ac:dyDescent="0.35">
      <c r="B22" s="14" t="s">
        <v>32</v>
      </c>
      <c r="C22" s="16"/>
      <c r="D22" s="16"/>
      <c r="E22" s="17">
        <v>52792</v>
      </c>
      <c r="F22" s="16"/>
      <c r="G22" s="16"/>
      <c r="H22" s="16"/>
      <c r="I22" s="17">
        <v>20990</v>
      </c>
      <c r="J22" s="14"/>
      <c r="K22" s="14"/>
      <c r="L22" s="16"/>
      <c r="M22" s="16"/>
      <c r="N22" s="14"/>
      <c r="O22" s="14"/>
      <c r="P22" s="16"/>
      <c r="Q22" s="16"/>
      <c r="R22" s="16"/>
      <c r="S22" s="16"/>
      <c r="T22" s="16"/>
      <c r="U22" s="16"/>
      <c r="V22" s="16"/>
      <c r="W22" s="16"/>
    </row>
    <row r="23" spans="2:23" x14ac:dyDescent="0.35">
      <c r="B23" s="14" t="s">
        <v>45</v>
      </c>
      <c r="C23" s="16"/>
      <c r="D23" s="16"/>
      <c r="E23" s="14"/>
      <c r="F23" s="16"/>
      <c r="G23" s="16"/>
      <c r="H23" s="16"/>
      <c r="I23" s="16"/>
      <c r="J23" s="17"/>
      <c r="K23" s="14"/>
      <c r="L23" s="16"/>
      <c r="M23" s="17">
        <v>1034</v>
      </c>
      <c r="N23" s="17"/>
      <c r="O23" s="14"/>
      <c r="P23" s="16"/>
      <c r="Q23" s="16"/>
      <c r="R23" s="16"/>
      <c r="S23" s="16"/>
      <c r="T23" s="16"/>
      <c r="U23" s="16"/>
      <c r="V23" s="16"/>
      <c r="W23" s="16"/>
    </row>
    <row r="25" spans="2:23" x14ac:dyDescent="0.35">
      <c r="B25">
        <v>2</v>
      </c>
      <c r="C25" s="14" t="s">
        <v>5</v>
      </c>
      <c r="D25" s="14" t="s">
        <v>17</v>
      </c>
      <c r="E25" s="14" t="s">
        <v>6</v>
      </c>
      <c r="F25" s="14" t="s">
        <v>19</v>
      </c>
      <c r="G25" s="14" t="s">
        <v>23</v>
      </c>
      <c r="H25" s="14" t="s">
        <v>24</v>
      </c>
      <c r="I25" t="s">
        <v>9</v>
      </c>
      <c r="J25" s="14" t="s">
        <v>10</v>
      </c>
      <c r="K25" s="14" t="s">
        <v>11</v>
      </c>
      <c r="L25" s="14" t="s">
        <v>34</v>
      </c>
      <c r="M25" s="14" t="s">
        <v>13</v>
      </c>
      <c r="N25" s="14" t="s">
        <v>14</v>
      </c>
      <c r="O25" s="14" t="s">
        <v>15</v>
      </c>
      <c r="P25" s="14" t="s">
        <v>42</v>
      </c>
      <c r="Q25" s="14" t="s">
        <v>43</v>
      </c>
      <c r="R25" s="14" t="s">
        <v>44</v>
      </c>
    </row>
    <row r="26" spans="2:23" x14ac:dyDescent="0.35">
      <c r="B26" s="14" t="s">
        <v>5</v>
      </c>
      <c r="C26" s="16"/>
      <c r="D26" s="16"/>
      <c r="E26" s="16"/>
      <c r="F26" s="17">
        <v>20013</v>
      </c>
      <c r="G26" s="16"/>
      <c r="H26" s="17">
        <v>117511</v>
      </c>
      <c r="I26" s="16"/>
      <c r="J26" s="17"/>
      <c r="K26" s="17"/>
      <c r="L26" s="16"/>
      <c r="M26" s="16"/>
      <c r="N26" s="16"/>
      <c r="O26" s="16"/>
      <c r="P26" s="16"/>
      <c r="Q26" s="17"/>
      <c r="R26" s="16"/>
    </row>
    <row r="27" spans="2:23" x14ac:dyDescent="0.35">
      <c r="B27" s="14" t="s">
        <v>17</v>
      </c>
      <c r="C27" s="16"/>
      <c r="D27" s="16"/>
      <c r="E27" s="16"/>
      <c r="F27" s="16"/>
      <c r="G27" s="17"/>
      <c r="H27" s="17"/>
      <c r="I27" s="16"/>
      <c r="J27" s="16"/>
      <c r="K27" s="16"/>
      <c r="L27" s="17"/>
      <c r="M27" s="16"/>
      <c r="N27" s="16"/>
      <c r="O27" s="16"/>
      <c r="P27" s="16"/>
      <c r="Q27" s="16"/>
      <c r="R27" s="17"/>
    </row>
    <row r="28" spans="2:23" x14ac:dyDescent="0.35">
      <c r="B28" s="14" t="s">
        <v>6</v>
      </c>
      <c r="C28" s="16"/>
      <c r="D28" s="16"/>
      <c r="E28" s="16"/>
      <c r="F28" s="16"/>
      <c r="G28" s="16"/>
      <c r="H28" s="16"/>
      <c r="I28" s="17"/>
      <c r="J28" s="16"/>
      <c r="K28" s="16"/>
      <c r="L28" s="16"/>
      <c r="M28" s="16"/>
      <c r="N28" s="17">
        <v>73782</v>
      </c>
      <c r="O28" s="16"/>
      <c r="P28" s="16"/>
      <c r="Q28" s="16"/>
      <c r="R28" s="16"/>
    </row>
    <row r="29" spans="2:23" x14ac:dyDescent="0.35">
      <c r="B29" s="14" t="s">
        <v>19</v>
      </c>
      <c r="C29" s="17"/>
      <c r="D29" s="16"/>
      <c r="E29" s="16"/>
      <c r="F29" s="16"/>
      <c r="G29" s="16"/>
      <c r="H29" s="17"/>
      <c r="I29" s="16"/>
      <c r="J29" s="16"/>
      <c r="K29" s="16"/>
      <c r="L29" s="16"/>
      <c r="M29" s="17"/>
      <c r="N29" s="16"/>
      <c r="O29" s="16"/>
      <c r="P29" s="16"/>
      <c r="Q29" s="16"/>
      <c r="R29" s="16"/>
    </row>
    <row r="30" spans="2:23" x14ac:dyDescent="0.35">
      <c r="B30" s="14" t="s">
        <v>23</v>
      </c>
      <c r="C30" s="16"/>
      <c r="D30" s="17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  <c r="P30" s="16"/>
      <c r="Q30" s="17"/>
      <c r="R30" s="17"/>
    </row>
    <row r="31" spans="2:23" x14ac:dyDescent="0.35">
      <c r="B31" s="14" t="s">
        <v>24</v>
      </c>
      <c r="C31" s="17"/>
      <c r="D31" s="17"/>
      <c r="E31" s="16"/>
      <c r="F31" s="17"/>
      <c r="G31" s="16"/>
      <c r="H31" s="16"/>
      <c r="I31" s="16"/>
      <c r="J31" s="16"/>
      <c r="K31" s="16"/>
      <c r="L31" s="17"/>
      <c r="M31" s="17"/>
      <c r="N31" s="16"/>
      <c r="O31" s="16"/>
      <c r="P31" s="20"/>
      <c r="Q31" s="17"/>
      <c r="R31" s="16"/>
    </row>
    <row r="32" spans="2:23" x14ac:dyDescent="0.35">
      <c r="B32" s="14" t="s">
        <v>9</v>
      </c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spans="2:18" x14ac:dyDescent="0.35">
      <c r="B33" s="14" t="s">
        <v>10</v>
      </c>
      <c r="C33" s="17">
        <v>137524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/>
      <c r="O33" s="16"/>
      <c r="P33" s="16"/>
      <c r="Q33" s="16"/>
      <c r="R33" s="16"/>
    </row>
    <row r="34" spans="2:18" x14ac:dyDescent="0.35">
      <c r="B34" s="14" t="s">
        <v>11</v>
      </c>
      <c r="C34" s="17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7"/>
      <c r="R34" s="16"/>
    </row>
    <row r="35" spans="2:18" x14ac:dyDescent="0.35">
      <c r="B35" s="14" t="s">
        <v>34</v>
      </c>
      <c r="C35" s="16"/>
      <c r="D35" s="17"/>
      <c r="E35" s="16"/>
      <c r="F35" s="16"/>
      <c r="G35" s="16"/>
      <c r="H35" s="17"/>
      <c r="I35" s="16"/>
      <c r="J35" s="16"/>
      <c r="K35" s="16"/>
      <c r="L35" s="16"/>
      <c r="M35" s="16"/>
      <c r="N35" s="16"/>
      <c r="O35" s="16"/>
      <c r="P35" s="16"/>
      <c r="Q35" s="16"/>
      <c r="R35" s="17"/>
    </row>
    <row r="36" spans="2:18" x14ac:dyDescent="0.35">
      <c r="B36" s="14" t="s">
        <v>13</v>
      </c>
      <c r="C36" s="16"/>
      <c r="D36" s="16"/>
      <c r="E36" s="16"/>
      <c r="F36" s="17"/>
      <c r="G36" s="16"/>
      <c r="H36" s="17"/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 spans="2:18" x14ac:dyDescent="0.35">
      <c r="B37" s="14" t="s">
        <v>14</v>
      </c>
      <c r="C37" s="16"/>
      <c r="D37" s="16"/>
      <c r="E37" s="17"/>
      <c r="F37" s="16"/>
      <c r="G37" s="16"/>
      <c r="H37" s="16"/>
      <c r="I37" s="16"/>
      <c r="J37" s="17">
        <v>73782</v>
      </c>
      <c r="K37" s="16"/>
      <c r="L37" s="16"/>
      <c r="M37" s="16"/>
      <c r="N37" s="16"/>
      <c r="O37" s="16"/>
      <c r="P37" s="16"/>
      <c r="Q37" s="16"/>
      <c r="R37" s="16"/>
    </row>
    <row r="38" spans="2:18" x14ac:dyDescent="0.35">
      <c r="B38" s="14" t="s">
        <v>15</v>
      </c>
      <c r="C38" s="16"/>
      <c r="D38" s="16"/>
      <c r="E38" s="16"/>
      <c r="F38" s="16"/>
      <c r="G38" s="17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spans="2:18" x14ac:dyDescent="0.35">
      <c r="B39" s="14" t="s">
        <v>42</v>
      </c>
      <c r="C39" s="16"/>
      <c r="D39" s="16"/>
      <c r="E39" s="16"/>
      <c r="F39" s="16"/>
      <c r="G39" s="16"/>
      <c r="H39" s="20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spans="2:18" x14ac:dyDescent="0.35">
      <c r="B40" s="14" t="s">
        <v>43</v>
      </c>
      <c r="C40" s="17"/>
      <c r="D40" s="16"/>
      <c r="E40" s="16"/>
      <c r="F40" s="16"/>
      <c r="G40" s="17"/>
      <c r="H40" s="17"/>
      <c r="I40" s="16"/>
      <c r="J40" s="16"/>
      <c r="K40" s="17"/>
      <c r="L40" s="16"/>
      <c r="M40" s="16"/>
      <c r="N40" s="16"/>
      <c r="O40" s="16"/>
      <c r="P40" s="16"/>
      <c r="Q40" s="16"/>
      <c r="R40" s="16"/>
    </row>
    <row r="41" spans="2:18" x14ac:dyDescent="0.35">
      <c r="B41" s="14" t="s">
        <v>44</v>
      </c>
      <c r="C41" s="16"/>
      <c r="D41" s="17"/>
      <c r="E41" s="16"/>
      <c r="F41" s="16"/>
      <c r="G41" s="17"/>
      <c r="H41" s="16"/>
      <c r="I41" s="16"/>
      <c r="J41" s="16"/>
      <c r="K41" s="16"/>
      <c r="L41" s="17"/>
      <c r="M41" s="16"/>
      <c r="N41" s="16"/>
      <c r="O41" s="16"/>
      <c r="P41" s="16"/>
      <c r="Q41" s="16"/>
      <c r="R41" s="16"/>
    </row>
    <row r="42" spans="2:18" x14ac:dyDescent="0.35">
      <c r="B42" s="14" t="s">
        <v>26</v>
      </c>
      <c r="C42" s="16"/>
      <c r="D42" s="16"/>
      <c r="E42" s="14"/>
      <c r="F42" s="16"/>
      <c r="G42" s="16"/>
      <c r="H42" s="16"/>
      <c r="I42" s="16"/>
      <c r="J42" s="14"/>
      <c r="K42" s="17">
        <v>12828</v>
      </c>
      <c r="L42" s="16"/>
      <c r="M42" s="14"/>
      <c r="N42" s="14"/>
      <c r="O42" s="14"/>
      <c r="P42" s="16"/>
      <c r="Q42" s="16"/>
      <c r="R42" s="16"/>
    </row>
    <row r="43" spans="2:18" x14ac:dyDescent="0.35">
      <c r="B43" s="14" t="s">
        <v>27</v>
      </c>
      <c r="C43" s="16"/>
      <c r="D43" s="16"/>
      <c r="E43" s="14"/>
      <c r="F43" s="16"/>
      <c r="G43" s="16"/>
      <c r="H43" s="16"/>
      <c r="I43" s="16"/>
      <c r="J43" s="14"/>
      <c r="K43" s="14"/>
      <c r="L43" s="16"/>
      <c r="M43" s="14"/>
      <c r="N43" s="14"/>
      <c r="O43" s="17">
        <v>597</v>
      </c>
      <c r="P43" s="16"/>
      <c r="Q43" s="16"/>
      <c r="R43" s="16"/>
    </row>
    <row r="44" spans="2:18" x14ac:dyDescent="0.35">
      <c r="B44" s="14" t="s">
        <v>29</v>
      </c>
      <c r="C44" s="16"/>
      <c r="D44" s="16"/>
      <c r="E44" s="17"/>
      <c r="F44" s="16"/>
      <c r="G44" s="16"/>
      <c r="H44" s="16"/>
      <c r="I44" s="17"/>
      <c r="J44" s="17">
        <v>63742</v>
      </c>
      <c r="K44" s="16"/>
      <c r="L44" s="16"/>
      <c r="M44" s="14"/>
      <c r="N44" s="17"/>
      <c r="O44" s="14"/>
      <c r="P44" s="16"/>
      <c r="Q44" s="16"/>
      <c r="R44" s="16"/>
    </row>
    <row r="45" spans="2:18" x14ac:dyDescent="0.35">
      <c r="B45" s="14" t="s">
        <v>32</v>
      </c>
      <c r="C45" s="16"/>
      <c r="D45" s="16"/>
      <c r="E45" s="17">
        <v>73782</v>
      </c>
      <c r="F45" s="16"/>
      <c r="G45" s="16"/>
      <c r="H45" s="16"/>
      <c r="I45" s="17"/>
      <c r="J45" s="14"/>
      <c r="K45" s="14"/>
      <c r="L45" s="16"/>
      <c r="M45" s="16"/>
      <c r="N45" s="14"/>
      <c r="O45" s="14"/>
      <c r="P45" s="16"/>
      <c r="Q45" s="16"/>
      <c r="R45" s="16"/>
    </row>
    <row r="46" spans="2:18" x14ac:dyDescent="0.35">
      <c r="B46" s="14" t="s">
        <v>45</v>
      </c>
      <c r="C46" s="16"/>
      <c r="D46" s="16"/>
      <c r="E46" s="14"/>
      <c r="F46" s="16"/>
      <c r="G46" s="16"/>
      <c r="H46" s="16"/>
      <c r="I46" s="16"/>
      <c r="J46" s="17"/>
      <c r="K46" s="14"/>
      <c r="L46" s="16"/>
      <c r="M46" s="17">
        <v>1034</v>
      </c>
      <c r="N46" s="17"/>
      <c r="O46" s="14"/>
      <c r="P46" s="16"/>
      <c r="Q46" s="16"/>
      <c r="R46" s="16"/>
    </row>
    <row r="48" spans="2:18" x14ac:dyDescent="0.35">
      <c r="B48">
        <v>3</v>
      </c>
      <c r="C48" s="14" t="s">
        <v>5</v>
      </c>
      <c r="D48" s="14" t="s">
        <v>17</v>
      </c>
      <c r="E48" s="14" t="s">
        <v>6</v>
      </c>
      <c r="F48" s="14" t="s">
        <v>19</v>
      </c>
      <c r="G48" s="14" t="s">
        <v>23</v>
      </c>
      <c r="H48" s="14" t="s">
        <v>24</v>
      </c>
      <c r="I48" t="s">
        <v>9</v>
      </c>
      <c r="J48" s="14" t="s">
        <v>10</v>
      </c>
      <c r="K48" s="14" t="s">
        <v>11</v>
      </c>
      <c r="L48" s="14" t="s">
        <v>34</v>
      </c>
      <c r="M48" s="14" t="s">
        <v>13</v>
      </c>
      <c r="N48" s="14" t="s">
        <v>14</v>
      </c>
      <c r="O48" s="14" t="s">
        <v>15</v>
      </c>
      <c r="P48" s="14" t="s">
        <v>42</v>
      </c>
      <c r="Q48" s="14" t="s">
        <v>43</v>
      </c>
      <c r="R48" s="14" t="s">
        <v>44</v>
      </c>
    </row>
    <row r="49" spans="2:18" x14ac:dyDescent="0.35">
      <c r="B49" s="14" t="s">
        <v>5</v>
      </c>
      <c r="C49" s="16"/>
      <c r="D49" s="16"/>
      <c r="E49" s="16"/>
      <c r="F49" s="17"/>
      <c r="G49" s="16"/>
      <c r="H49" s="17">
        <v>137524</v>
      </c>
      <c r="I49" s="16"/>
      <c r="J49" s="17"/>
      <c r="K49" s="17"/>
      <c r="L49" s="16"/>
      <c r="M49" s="16"/>
      <c r="N49" s="16"/>
      <c r="O49" s="16"/>
      <c r="P49" s="16"/>
      <c r="Q49" s="17"/>
      <c r="R49" s="16"/>
    </row>
    <row r="50" spans="2:18" x14ac:dyDescent="0.35">
      <c r="B50" s="14" t="s">
        <v>17</v>
      </c>
      <c r="C50" s="16"/>
      <c r="D50" s="16"/>
      <c r="E50" s="16"/>
      <c r="F50" s="16"/>
      <c r="G50" s="17"/>
      <c r="H50" s="17"/>
      <c r="I50" s="16"/>
      <c r="J50" s="16"/>
      <c r="K50" s="16"/>
      <c r="L50" s="17"/>
      <c r="M50" s="16"/>
      <c r="N50" s="16"/>
      <c r="O50" s="16"/>
      <c r="P50" s="16"/>
      <c r="Q50" s="16"/>
      <c r="R50" s="17"/>
    </row>
    <row r="51" spans="2:18" x14ac:dyDescent="0.35">
      <c r="B51" s="14" t="s">
        <v>6</v>
      </c>
      <c r="C51" s="16"/>
      <c r="D51" s="16"/>
      <c r="E51" s="16"/>
      <c r="F51" s="16"/>
      <c r="G51" s="16"/>
      <c r="H51" s="16"/>
      <c r="I51" s="17"/>
      <c r="J51" s="16"/>
      <c r="K51" s="16"/>
      <c r="L51" s="16"/>
      <c r="M51" s="16"/>
      <c r="N51" s="17">
        <v>73782</v>
      </c>
      <c r="O51" s="16"/>
      <c r="P51" s="16"/>
      <c r="Q51" s="16"/>
      <c r="R51" s="16"/>
    </row>
    <row r="52" spans="2:18" x14ac:dyDescent="0.35">
      <c r="B52" s="14" t="s">
        <v>19</v>
      </c>
      <c r="C52" s="17"/>
      <c r="D52" s="16"/>
      <c r="E52" s="16"/>
      <c r="F52" s="16"/>
      <c r="G52" s="16"/>
      <c r="H52" s="17"/>
      <c r="I52" s="16"/>
      <c r="J52" s="16"/>
      <c r="K52" s="16"/>
      <c r="L52" s="16"/>
      <c r="M52" s="17"/>
      <c r="N52" s="16"/>
      <c r="O52" s="16"/>
      <c r="P52" s="16"/>
      <c r="Q52" s="16"/>
      <c r="R52" s="16"/>
    </row>
    <row r="53" spans="2:18" x14ac:dyDescent="0.35">
      <c r="B53" s="14" t="s">
        <v>23</v>
      </c>
      <c r="C53" s="16"/>
      <c r="D53" s="17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7"/>
      <c r="P53" s="16"/>
      <c r="Q53" s="17"/>
      <c r="R53" s="17"/>
    </row>
    <row r="54" spans="2:18" x14ac:dyDescent="0.35">
      <c r="B54" s="14" t="s">
        <v>24</v>
      </c>
      <c r="C54" s="17"/>
      <c r="D54" s="17"/>
      <c r="E54" s="16"/>
      <c r="F54" s="17"/>
      <c r="G54" s="16"/>
      <c r="H54" s="16"/>
      <c r="I54" s="16"/>
      <c r="J54" s="16"/>
      <c r="K54" s="16"/>
      <c r="L54" s="17"/>
      <c r="M54" s="17"/>
      <c r="N54" s="16"/>
      <c r="O54" s="16"/>
      <c r="P54" s="20"/>
      <c r="Q54" s="17"/>
      <c r="R54" s="16"/>
    </row>
    <row r="55" spans="2:18" x14ac:dyDescent="0.35">
      <c r="B55" s="14" t="s">
        <v>9</v>
      </c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 spans="2:18" x14ac:dyDescent="0.35">
      <c r="B56" s="14" t="s">
        <v>10</v>
      </c>
      <c r="C56" s="17">
        <v>137524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7"/>
      <c r="O56" s="16"/>
      <c r="P56" s="16"/>
      <c r="Q56" s="16"/>
      <c r="R56" s="16"/>
    </row>
    <row r="57" spans="2:18" x14ac:dyDescent="0.35">
      <c r="B57" s="14" t="s">
        <v>11</v>
      </c>
      <c r="C57" s="17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/>
      <c r="R57" s="16"/>
    </row>
    <row r="58" spans="2:18" x14ac:dyDescent="0.35">
      <c r="B58" s="14" t="s">
        <v>34</v>
      </c>
      <c r="C58" s="16"/>
      <c r="D58" s="17"/>
      <c r="E58" s="16"/>
      <c r="F58" s="16"/>
      <c r="G58" s="16"/>
      <c r="H58" s="17"/>
      <c r="I58" s="16"/>
      <c r="J58" s="16"/>
      <c r="K58" s="16"/>
      <c r="L58" s="16"/>
      <c r="M58" s="16"/>
      <c r="N58" s="16"/>
      <c r="O58" s="16"/>
      <c r="P58" s="16"/>
      <c r="Q58" s="16"/>
      <c r="R58" s="17"/>
    </row>
    <row r="59" spans="2:18" x14ac:dyDescent="0.35">
      <c r="B59" s="14" t="s">
        <v>13</v>
      </c>
      <c r="C59" s="16"/>
      <c r="D59" s="16"/>
      <c r="E59" s="16"/>
      <c r="F59" s="17"/>
      <c r="G59" s="16"/>
      <c r="H59" s="17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spans="2:18" x14ac:dyDescent="0.35">
      <c r="B60" s="14" t="s">
        <v>14</v>
      </c>
      <c r="C60" s="16"/>
      <c r="D60" s="16"/>
      <c r="E60" s="17"/>
      <c r="F60" s="16"/>
      <c r="G60" s="16"/>
      <c r="H60" s="16"/>
      <c r="I60" s="16"/>
      <c r="J60" s="17">
        <v>73782</v>
      </c>
      <c r="K60" s="16"/>
      <c r="L60" s="16"/>
      <c r="M60" s="16"/>
      <c r="N60" s="16"/>
      <c r="O60" s="16"/>
      <c r="P60" s="16"/>
      <c r="Q60" s="16"/>
      <c r="R60" s="16"/>
    </row>
    <row r="61" spans="2:18" x14ac:dyDescent="0.35">
      <c r="B61" s="14" t="s">
        <v>15</v>
      </c>
      <c r="C61" s="16"/>
      <c r="D61" s="16"/>
      <c r="E61" s="16"/>
      <c r="F61" s="16"/>
      <c r="G61" s="17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spans="2:18" x14ac:dyDescent="0.35">
      <c r="B62" s="14" t="s">
        <v>42</v>
      </c>
      <c r="C62" s="16"/>
      <c r="D62" s="16"/>
      <c r="E62" s="16"/>
      <c r="F62" s="16"/>
      <c r="G62" s="16"/>
      <c r="H62" s="20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spans="2:18" x14ac:dyDescent="0.35">
      <c r="B63" s="14" t="s">
        <v>43</v>
      </c>
      <c r="C63" s="17"/>
      <c r="D63" s="16"/>
      <c r="E63" s="16"/>
      <c r="F63" s="16"/>
      <c r="G63" s="17"/>
      <c r="H63" s="17"/>
      <c r="I63" s="16"/>
      <c r="J63" s="16"/>
      <c r="K63" s="17"/>
      <c r="L63" s="16"/>
      <c r="M63" s="16"/>
      <c r="N63" s="16"/>
      <c r="O63" s="16"/>
      <c r="P63" s="16"/>
      <c r="Q63" s="16"/>
      <c r="R63" s="16"/>
    </row>
    <row r="64" spans="2:18" x14ac:dyDescent="0.35">
      <c r="B64" s="14" t="s">
        <v>44</v>
      </c>
      <c r="C64" s="16"/>
      <c r="D64" s="17"/>
      <c r="E64" s="16"/>
      <c r="F64" s="16"/>
      <c r="G64" s="17"/>
      <c r="H64" s="16"/>
      <c r="I64" s="16"/>
      <c r="J64" s="16"/>
      <c r="K64" s="16"/>
      <c r="L64" s="17"/>
      <c r="M64" s="16"/>
      <c r="N64" s="16"/>
      <c r="O64" s="16"/>
      <c r="P64" s="16"/>
      <c r="Q64" s="16"/>
      <c r="R64" s="16"/>
    </row>
    <row r="65" spans="2:18" x14ac:dyDescent="0.35">
      <c r="B65" s="14" t="s">
        <v>26</v>
      </c>
      <c r="C65" s="16"/>
      <c r="D65" s="16"/>
      <c r="E65" s="14"/>
      <c r="F65" s="16"/>
      <c r="G65" s="16"/>
      <c r="H65" s="16"/>
      <c r="I65" s="16"/>
      <c r="J65" s="14"/>
      <c r="K65" s="17">
        <v>12828</v>
      </c>
      <c r="L65" s="16"/>
      <c r="M65" s="14"/>
      <c r="N65" s="14"/>
      <c r="O65" s="14"/>
      <c r="P65" s="16"/>
      <c r="Q65" s="16"/>
      <c r="R65" s="16"/>
    </row>
    <row r="66" spans="2:18" x14ac:dyDescent="0.35">
      <c r="B66" s="14" t="s">
        <v>27</v>
      </c>
      <c r="C66" s="16"/>
      <c r="D66" s="16"/>
      <c r="E66" s="14"/>
      <c r="F66" s="16"/>
      <c r="G66" s="16"/>
      <c r="H66" s="16"/>
      <c r="I66" s="16"/>
      <c r="J66" s="14"/>
      <c r="K66" s="14"/>
      <c r="L66" s="16"/>
      <c r="M66" s="14"/>
      <c r="N66" s="14"/>
      <c r="O66" s="17">
        <v>597</v>
      </c>
      <c r="P66" s="16"/>
      <c r="Q66" s="16"/>
      <c r="R66" s="16"/>
    </row>
    <row r="67" spans="2:18" x14ac:dyDescent="0.35">
      <c r="B67" s="14" t="s">
        <v>29</v>
      </c>
      <c r="C67" s="16"/>
      <c r="D67" s="16"/>
      <c r="E67" s="17"/>
      <c r="F67" s="16"/>
      <c r="G67" s="16"/>
      <c r="H67" s="16"/>
      <c r="I67" s="17"/>
      <c r="J67" s="17">
        <v>63742</v>
      </c>
      <c r="K67" s="16"/>
      <c r="L67" s="16"/>
      <c r="M67" s="14"/>
      <c r="N67" s="17"/>
      <c r="O67" s="14"/>
      <c r="P67" s="16"/>
      <c r="Q67" s="16"/>
      <c r="R67" s="16"/>
    </row>
    <row r="68" spans="2:18" x14ac:dyDescent="0.35">
      <c r="B68" s="14" t="s">
        <v>32</v>
      </c>
      <c r="C68" s="16"/>
      <c r="D68" s="16"/>
      <c r="E68" s="17">
        <v>73782</v>
      </c>
      <c r="F68" s="16"/>
      <c r="G68" s="16"/>
      <c r="H68" s="16"/>
      <c r="I68" s="17"/>
      <c r="J68" s="14"/>
      <c r="K68" s="14"/>
      <c r="L68" s="16"/>
      <c r="M68" s="16"/>
      <c r="N68" s="14"/>
      <c r="O68" s="14"/>
      <c r="P68" s="16"/>
      <c r="Q68" s="16"/>
      <c r="R68" s="16"/>
    </row>
    <row r="69" spans="2:18" x14ac:dyDescent="0.35">
      <c r="B69" s="14" t="s">
        <v>45</v>
      </c>
      <c r="C69" s="16"/>
      <c r="D69" s="16"/>
      <c r="E69" s="14"/>
      <c r="F69" s="16"/>
      <c r="G69" s="16"/>
      <c r="H69" s="16"/>
      <c r="I69" s="16"/>
      <c r="J69" s="17"/>
      <c r="K69" s="14"/>
      <c r="L69" s="16"/>
      <c r="M69" s="17">
        <v>1034</v>
      </c>
      <c r="N69" s="17"/>
      <c r="O69" s="14"/>
      <c r="P69" s="16"/>
      <c r="Q69" s="16"/>
      <c r="R69" s="16"/>
    </row>
    <row r="71" spans="2:18" x14ac:dyDescent="0.35">
      <c r="B71">
        <v>4</v>
      </c>
      <c r="C71" s="14" t="s">
        <v>5</v>
      </c>
      <c r="D71" s="14" t="s">
        <v>17</v>
      </c>
      <c r="E71" s="14" t="s">
        <v>6</v>
      </c>
      <c r="F71" s="14" t="s">
        <v>19</v>
      </c>
      <c r="G71" s="14" t="s">
        <v>23</v>
      </c>
      <c r="H71" s="14" t="s">
        <v>24</v>
      </c>
      <c r="I71" t="s">
        <v>9</v>
      </c>
      <c r="J71" s="14" t="s">
        <v>10</v>
      </c>
      <c r="K71" s="14" t="s">
        <v>11</v>
      </c>
      <c r="L71" s="14" t="s">
        <v>34</v>
      </c>
      <c r="M71" s="14" t="s">
        <v>13</v>
      </c>
      <c r="N71" s="14" t="s">
        <v>14</v>
      </c>
      <c r="O71" s="14" t="s">
        <v>15</v>
      </c>
      <c r="P71" s="14" t="s">
        <v>42</v>
      </c>
      <c r="Q71" s="14" t="s">
        <v>43</v>
      </c>
      <c r="R71" s="14" t="s">
        <v>44</v>
      </c>
    </row>
    <row r="72" spans="2:18" x14ac:dyDescent="0.35">
      <c r="B72" s="14" t="s">
        <v>5</v>
      </c>
      <c r="C72" s="16"/>
      <c r="D72" s="16"/>
      <c r="E72" s="16"/>
      <c r="F72" s="17"/>
      <c r="G72" s="16"/>
      <c r="H72" s="17">
        <v>128615</v>
      </c>
      <c r="I72" s="16"/>
      <c r="J72" s="17"/>
      <c r="K72" s="17"/>
      <c r="L72" s="16"/>
      <c r="M72" s="16"/>
      <c r="N72" s="16"/>
      <c r="O72" s="16"/>
      <c r="P72" s="16"/>
      <c r="Q72" s="17">
        <v>8909</v>
      </c>
      <c r="R72" s="16"/>
    </row>
    <row r="73" spans="2:18" x14ac:dyDescent="0.35">
      <c r="B73" s="14" t="s">
        <v>17</v>
      </c>
      <c r="C73" s="16"/>
      <c r="D73" s="16"/>
      <c r="E73" s="16"/>
      <c r="F73" s="16"/>
      <c r="G73" s="17"/>
      <c r="H73" s="17"/>
      <c r="I73" s="16"/>
      <c r="J73" s="16"/>
      <c r="K73" s="16"/>
      <c r="L73" s="17"/>
      <c r="M73" s="16"/>
      <c r="N73" s="16"/>
      <c r="O73" s="16"/>
      <c r="P73" s="16"/>
      <c r="Q73" s="16"/>
      <c r="R73" s="17"/>
    </row>
    <row r="74" spans="2:18" x14ac:dyDescent="0.35">
      <c r="B74" s="14" t="s">
        <v>6</v>
      </c>
      <c r="C74" s="16"/>
      <c r="D74" s="16"/>
      <c r="E74" s="16"/>
      <c r="F74" s="16"/>
      <c r="G74" s="16"/>
      <c r="H74" s="16"/>
      <c r="I74" s="17"/>
      <c r="J74" s="16"/>
      <c r="K74" s="16"/>
      <c r="L74" s="16"/>
      <c r="M74" s="16"/>
      <c r="N74" s="17">
        <v>73782</v>
      </c>
      <c r="O74" s="16"/>
      <c r="P74" s="16"/>
      <c r="Q74" s="16"/>
      <c r="R74" s="16"/>
    </row>
    <row r="75" spans="2:18" x14ac:dyDescent="0.35">
      <c r="B75" s="14" t="s">
        <v>19</v>
      </c>
      <c r="C75" s="17"/>
      <c r="D75" s="16"/>
      <c r="E75" s="16"/>
      <c r="F75" s="16"/>
      <c r="G75" s="16"/>
      <c r="H75" s="17"/>
      <c r="I75" s="16"/>
      <c r="J75" s="16"/>
      <c r="K75" s="16"/>
      <c r="L75" s="16"/>
      <c r="M75" s="17"/>
      <c r="N75" s="16"/>
      <c r="O75" s="16"/>
      <c r="P75" s="16"/>
      <c r="Q75" s="16"/>
      <c r="R75" s="16"/>
    </row>
    <row r="76" spans="2:18" x14ac:dyDescent="0.35">
      <c r="B76" s="14" t="s">
        <v>23</v>
      </c>
      <c r="C76" s="16"/>
      <c r="D76" s="17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7"/>
      <c r="P76" s="16"/>
      <c r="Q76" s="17"/>
      <c r="R76" s="17"/>
    </row>
    <row r="77" spans="2:18" x14ac:dyDescent="0.35">
      <c r="B77" s="14" t="s">
        <v>24</v>
      </c>
      <c r="C77" s="17"/>
      <c r="D77" s="17"/>
      <c r="E77" s="16"/>
      <c r="F77" s="17"/>
      <c r="G77" s="16"/>
      <c r="H77" s="16"/>
      <c r="I77" s="16"/>
      <c r="J77" s="16"/>
      <c r="K77" s="16"/>
      <c r="L77" s="17"/>
      <c r="M77" s="17"/>
      <c r="N77" s="16"/>
      <c r="O77" s="16"/>
      <c r="P77" s="20"/>
      <c r="Q77" s="17"/>
      <c r="R77" s="16"/>
    </row>
    <row r="78" spans="2:18" x14ac:dyDescent="0.35">
      <c r="B78" s="14" t="s">
        <v>9</v>
      </c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 spans="2:18" x14ac:dyDescent="0.35">
      <c r="B79" s="14" t="s">
        <v>10</v>
      </c>
      <c r="C79" s="17">
        <v>137524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7"/>
      <c r="O79" s="16"/>
      <c r="P79" s="16"/>
      <c r="Q79" s="16"/>
      <c r="R79" s="16"/>
    </row>
    <row r="80" spans="2:18" x14ac:dyDescent="0.35">
      <c r="B80" s="14" t="s">
        <v>11</v>
      </c>
      <c r="C80" s="17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/>
      <c r="R80" s="16"/>
    </row>
    <row r="81" spans="2:18" x14ac:dyDescent="0.35">
      <c r="B81" s="14" t="s">
        <v>34</v>
      </c>
      <c r="C81" s="16"/>
      <c r="D81" s="17"/>
      <c r="E81" s="16"/>
      <c r="F81" s="16"/>
      <c r="G81" s="16"/>
      <c r="H81" s="17"/>
      <c r="I81" s="16"/>
      <c r="J81" s="16"/>
      <c r="K81" s="16"/>
      <c r="L81" s="16"/>
      <c r="M81" s="16"/>
      <c r="N81" s="16"/>
      <c r="O81" s="16"/>
      <c r="P81" s="16"/>
      <c r="Q81" s="16"/>
      <c r="R81" s="17"/>
    </row>
    <row r="82" spans="2:18" x14ac:dyDescent="0.35">
      <c r="B82" s="14" t="s">
        <v>13</v>
      </c>
      <c r="C82" s="16"/>
      <c r="D82" s="16"/>
      <c r="E82" s="16"/>
      <c r="F82" s="17"/>
      <c r="G82" s="16"/>
      <c r="H82" s="17"/>
      <c r="I82" s="16"/>
      <c r="J82" s="16"/>
      <c r="K82" s="16"/>
      <c r="L82" s="16"/>
      <c r="M82" s="16"/>
      <c r="N82" s="16"/>
      <c r="O82" s="16"/>
      <c r="P82" s="16"/>
      <c r="Q82" s="16"/>
      <c r="R82" s="16"/>
    </row>
    <row r="83" spans="2:18" x14ac:dyDescent="0.35">
      <c r="B83" s="14" t="s">
        <v>14</v>
      </c>
      <c r="C83" s="16"/>
      <c r="D83" s="16"/>
      <c r="E83" s="17"/>
      <c r="F83" s="16"/>
      <c r="G83" s="16"/>
      <c r="H83" s="16"/>
      <c r="I83" s="16"/>
      <c r="J83" s="17">
        <v>73782</v>
      </c>
      <c r="K83" s="16"/>
      <c r="L83" s="16"/>
      <c r="M83" s="16"/>
      <c r="N83" s="16"/>
      <c r="O83" s="16"/>
      <c r="P83" s="16"/>
      <c r="Q83" s="16"/>
      <c r="R83" s="16"/>
    </row>
    <row r="84" spans="2:18" x14ac:dyDescent="0.35">
      <c r="B84" s="14" t="s">
        <v>15</v>
      </c>
      <c r="C84" s="16"/>
      <c r="D84" s="16"/>
      <c r="E84" s="16"/>
      <c r="F84" s="16"/>
      <c r="G84" s="17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</row>
    <row r="85" spans="2:18" x14ac:dyDescent="0.35">
      <c r="B85" s="14" t="s">
        <v>42</v>
      </c>
      <c r="C85" s="16"/>
      <c r="D85" s="16"/>
      <c r="E85" s="16"/>
      <c r="F85" s="16"/>
      <c r="G85" s="16"/>
      <c r="H85" s="20"/>
      <c r="I85" s="16"/>
      <c r="J85" s="16"/>
      <c r="K85" s="16"/>
      <c r="L85" s="16"/>
      <c r="M85" s="16"/>
      <c r="N85" s="16"/>
      <c r="O85" s="16"/>
      <c r="P85" s="16"/>
      <c r="Q85" s="16"/>
      <c r="R85" s="16"/>
    </row>
    <row r="86" spans="2:18" x14ac:dyDescent="0.35">
      <c r="B86" s="14" t="s">
        <v>43</v>
      </c>
      <c r="C86" s="17"/>
      <c r="D86" s="16"/>
      <c r="E86" s="16"/>
      <c r="F86" s="16"/>
      <c r="G86" s="17"/>
      <c r="H86" s="17"/>
      <c r="I86" s="16"/>
      <c r="J86" s="16"/>
      <c r="K86" s="17"/>
      <c r="L86" s="16"/>
      <c r="M86" s="16"/>
      <c r="N86" s="16"/>
      <c r="O86" s="16"/>
      <c r="P86" s="16"/>
      <c r="Q86" s="16"/>
      <c r="R86" s="16"/>
    </row>
    <row r="87" spans="2:18" x14ac:dyDescent="0.35">
      <c r="B87" s="14" t="s">
        <v>44</v>
      </c>
      <c r="C87" s="16"/>
      <c r="D87" s="17"/>
      <c r="E87" s="16"/>
      <c r="F87" s="16"/>
      <c r="G87" s="17"/>
      <c r="H87" s="16"/>
      <c r="I87" s="16"/>
      <c r="J87" s="16"/>
      <c r="K87" s="16"/>
      <c r="L87" s="17"/>
      <c r="M87" s="16"/>
      <c r="N87" s="16"/>
      <c r="O87" s="16"/>
      <c r="P87" s="16"/>
      <c r="Q87" s="16"/>
      <c r="R87" s="16"/>
    </row>
    <row r="88" spans="2:18" x14ac:dyDescent="0.35">
      <c r="B88" s="14" t="s">
        <v>26</v>
      </c>
      <c r="C88" s="16"/>
      <c r="D88" s="16"/>
      <c r="E88" s="14"/>
      <c r="F88" s="16"/>
      <c r="G88" s="16"/>
      <c r="H88" s="16"/>
      <c r="I88" s="16"/>
      <c r="J88" s="14"/>
      <c r="K88" s="17">
        <v>12828</v>
      </c>
      <c r="L88" s="16"/>
      <c r="M88" s="14"/>
      <c r="N88" s="14"/>
      <c r="O88" s="14"/>
      <c r="P88" s="16"/>
      <c r="Q88" s="16"/>
      <c r="R88" s="16"/>
    </row>
    <row r="89" spans="2:18" x14ac:dyDescent="0.35">
      <c r="B89" s="14" t="s">
        <v>27</v>
      </c>
      <c r="C89" s="16"/>
      <c r="D89" s="16"/>
      <c r="E89" s="14"/>
      <c r="F89" s="16"/>
      <c r="G89" s="16"/>
      <c r="H89" s="16"/>
      <c r="I89" s="16"/>
      <c r="J89" s="14"/>
      <c r="K89" s="14"/>
      <c r="L89" s="16"/>
      <c r="M89" s="14"/>
      <c r="N89" s="14"/>
      <c r="O89" s="17">
        <v>597</v>
      </c>
      <c r="P89" s="16"/>
      <c r="Q89" s="16"/>
      <c r="R89" s="16"/>
    </row>
    <row r="90" spans="2:18" x14ac:dyDescent="0.35">
      <c r="B90" s="14" t="s">
        <v>29</v>
      </c>
      <c r="C90" s="16"/>
      <c r="D90" s="16"/>
      <c r="E90" s="17"/>
      <c r="F90" s="16"/>
      <c r="G90" s="16"/>
      <c r="H90" s="16"/>
      <c r="I90" s="17"/>
      <c r="J90" s="17">
        <v>63742</v>
      </c>
      <c r="K90" s="16"/>
      <c r="L90" s="16"/>
      <c r="M90" s="14"/>
      <c r="N90" s="17"/>
      <c r="O90" s="14"/>
      <c r="P90" s="16"/>
      <c r="Q90" s="16"/>
      <c r="R90" s="16"/>
    </row>
    <row r="91" spans="2:18" x14ac:dyDescent="0.35">
      <c r="B91" s="14" t="s">
        <v>32</v>
      </c>
      <c r="C91" s="16"/>
      <c r="D91" s="16"/>
      <c r="E91" s="17">
        <v>73782</v>
      </c>
      <c r="F91" s="16"/>
      <c r="G91" s="16"/>
      <c r="H91" s="16"/>
      <c r="I91" s="17"/>
      <c r="J91" s="14"/>
      <c r="K91" s="14"/>
      <c r="L91" s="16"/>
      <c r="M91" s="16"/>
      <c r="N91" s="14"/>
      <c r="O91" s="14"/>
      <c r="P91" s="16"/>
      <c r="Q91" s="16"/>
      <c r="R91" s="16"/>
    </row>
    <row r="92" spans="2:18" x14ac:dyDescent="0.35">
      <c r="B92" s="14" t="s">
        <v>45</v>
      </c>
      <c r="C92" s="16"/>
      <c r="D92" s="16"/>
      <c r="E92" s="14"/>
      <c r="F92" s="16"/>
      <c r="G92" s="16"/>
      <c r="H92" s="16"/>
      <c r="I92" s="16"/>
      <c r="J92" s="17"/>
      <c r="K92" s="14"/>
      <c r="L92" s="16"/>
      <c r="M92" s="17">
        <v>1034</v>
      </c>
      <c r="N92" s="17"/>
      <c r="O92" s="14"/>
      <c r="P92" s="16"/>
      <c r="Q92" s="16"/>
      <c r="R92" s="16"/>
    </row>
    <row r="94" spans="2:18" x14ac:dyDescent="0.35">
      <c r="B94">
        <v>5</v>
      </c>
      <c r="C94" s="14" t="s">
        <v>5</v>
      </c>
      <c r="D94" s="14" t="s">
        <v>17</v>
      </c>
      <c r="E94" s="14" t="s">
        <v>6</v>
      </c>
      <c r="F94" s="14" t="s">
        <v>19</v>
      </c>
      <c r="G94" s="14" t="s">
        <v>23</v>
      </c>
      <c r="H94" s="14" t="s">
        <v>24</v>
      </c>
      <c r="I94" t="s">
        <v>9</v>
      </c>
      <c r="J94" s="14" t="s">
        <v>10</v>
      </c>
      <c r="K94" s="14" t="s">
        <v>11</v>
      </c>
      <c r="L94" s="14" t="s">
        <v>34</v>
      </c>
      <c r="M94" s="14" t="s">
        <v>13</v>
      </c>
      <c r="N94" s="14" t="s">
        <v>14</v>
      </c>
      <c r="O94" s="14" t="s">
        <v>15</v>
      </c>
      <c r="P94" s="14" t="s">
        <v>42</v>
      </c>
      <c r="Q94" s="14" t="s">
        <v>43</v>
      </c>
      <c r="R94" s="14" t="s">
        <v>44</v>
      </c>
    </row>
    <row r="95" spans="2:18" x14ac:dyDescent="0.35">
      <c r="B95" s="14" t="s">
        <v>5</v>
      </c>
      <c r="C95" s="16"/>
      <c r="D95" s="16"/>
      <c r="E95" s="16"/>
      <c r="F95" s="17">
        <v>88420</v>
      </c>
      <c r="G95" s="16"/>
      <c r="H95" s="17"/>
      <c r="I95" s="16"/>
      <c r="J95" s="17"/>
      <c r="K95" s="17"/>
      <c r="L95" s="16"/>
      <c r="M95" s="16"/>
      <c r="N95" s="16"/>
      <c r="O95" s="16"/>
      <c r="P95" s="16"/>
      <c r="Q95" s="17">
        <v>49104</v>
      </c>
      <c r="R95" s="16"/>
    </row>
    <row r="96" spans="2:18" x14ac:dyDescent="0.35">
      <c r="B96" s="14" t="s">
        <v>17</v>
      </c>
      <c r="C96" s="16"/>
      <c r="D96" s="16"/>
      <c r="E96" s="16"/>
      <c r="F96" s="16"/>
      <c r="G96" s="17"/>
      <c r="H96" s="17"/>
      <c r="I96" s="16"/>
      <c r="J96" s="16"/>
      <c r="K96" s="16"/>
      <c r="L96" s="17"/>
      <c r="M96" s="16"/>
      <c r="N96" s="16"/>
      <c r="O96" s="16"/>
      <c r="P96" s="16"/>
      <c r="Q96" s="16"/>
      <c r="R96" s="17"/>
    </row>
    <row r="97" spans="2:18" x14ac:dyDescent="0.35">
      <c r="B97" s="14" t="s">
        <v>6</v>
      </c>
      <c r="C97" s="16"/>
      <c r="D97" s="16"/>
      <c r="E97" s="16"/>
      <c r="F97" s="16"/>
      <c r="G97" s="16"/>
      <c r="H97" s="16"/>
      <c r="I97" s="17"/>
      <c r="J97" s="16"/>
      <c r="K97" s="16"/>
      <c r="L97" s="16"/>
      <c r="M97" s="16"/>
      <c r="N97" s="17">
        <v>73782</v>
      </c>
      <c r="O97" s="16"/>
      <c r="P97" s="16"/>
      <c r="Q97" s="16"/>
      <c r="R97" s="16"/>
    </row>
    <row r="98" spans="2:18" x14ac:dyDescent="0.35">
      <c r="B98" s="14" t="s">
        <v>19</v>
      </c>
      <c r="C98" s="17"/>
      <c r="D98" s="16"/>
      <c r="E98" s="16"/>
      <c r="F98" s="16"/>
      <c r="G98" s="16"/>
      <c r="H98" s="17"/>
      <c r="I98" s="16"/>
      <c r="J98" s="16"/>
      <c r="K98" s="16"/>
      <c r="L98" s="16"/>
      <c r="M98" s="17">
        <v>88420</v>
      </c>
      <c r="N98" s="16"/>
      <c r="O98" s="16"/>
      <c r="P98" s="16"/>
      <c r="Q98" s="16"/>
      <c r="R98" s="16"/>
    </row>
    <row r="99" spans="2:18" x14ac:dyDescent="0.35">
      <c r="B99" s="14" t="s">
        <v>23</v>
      </c>
      <c r="C99" s="16"/>
      <c r="D99" s="17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7"/>
      <c r="P99" s="16"/>
      <c r="Q99" s="17"/>
      <c r="R99" s="17"/>
    </row>
    <row r="100" spans="2:18" x14ac:dyDescent="0.35">
      <c r="B100" s="14" t="s">
        <v>24</v>
      </c>
      <c r="C100" s="17"/>
      <c r="D100" s="17"/>
      <c r="E100" s="16"/>
      <c r="F100" s="17"/>
      <c r="G100" s="16"/>
      <c r="H100" s="16"/>
      <c r="I100" s="16"/>
      <c r="J100" s="16"/>
      <c r="K100" s="16"/>
      <c r="L100" s="17"/>
      <c r="M100" s="17"/>
      <c r="N100" s="16"/>
      <c r="O100" s="16"/>
      <c r="P100" s="20"/>
      <c r="Q100" s="17"/>
      <c r="R100" s="16"/>
    </row>
    <row r="101" spans="2:18" x14ac:dyDescent="0.35">
      <c r="B101" s="14" t="s">
        <v>9</v>
      </c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</row>
    <row r="102" spans="2:18" x14ac:dyDescent="0.35">
      <c r="B102" s="14" t="s">
        <v>10</v>
      </c>
      <c r="C102" s="17">
        <v>137524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7"/>
      <c r="O102" s="16"/>
      <c r="P102" s="16"/>
      <c r="Q102" s="16"/>
      <c r="R102" s="16"/>
    </row>
    <row r="103" spans="2:18" x14ac:dyDescent="0.35">
      <c r="B103" s="14" t="s">
        <v>11</v>
      </c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7"/>
      <c r="R103" s="16"/>
    </row>
    <row r="104" spans="2:18" x14ac:dyDescent="0.35">
      <c r="B104" s="14" t="s">
        <v>34</v>
      </c>
      <c r="C104" s="16"/>
      <c r="D104" s="17"/>
      <c r="E104" s="16"/>
      <c r="F104" s="16"/>
      <c r="G104" s="16"/>
      <c r="H104" s="17"/>
      <c r="I104" s="16"/>
      <c r="J104" s="16"/>
      <c r="K104" s="16"/>
      <c r="L104" s="16"/>
      <c r="M104" s="16"/>
      <c r="N104" s="16"/>
      <c r="O104" s="16"/>
      <c r="P104" s="16"/>
      <c r="Q104" s="16"/>
      <c r="R104" s="17"/>
    </row>
    <row r="105" spans="2:18" x14ac:dyDescent="0.35">
      <c r="B105" s="14" t="s">
        <v>13</v>
      </c>
      <c r="C105" s="16"/>
      <c r="D105" s="16"/>
      <c r="E105" s="16"/>
      <c r="F105" s="17"/>
      <c r="G105" s="16"/>
      <c r="H105" s="17"/>
      <c r="I105" s="16"/>
      <c r="J105" s="16"/>
      <c r="K105" s="16"/>
      <c r="L105" s="16"/>
      <c r="M105" s="16"/>
      <c r="N105" s="16"/>
      <c r="O105" s="16"/>
      <c r="P105" s="16"/>
      <c r="Q105" s="16"/>
      <c r="R105" s="16"/>
    </row>
    <row r="106" spans="2:18" x14ac:dyDescent="0.35">
      <c r="B106" s="14" t="s">
        <v>14</v>
      </c>
      <c r="C106" s="16"/>
      <c r="D106" s="16"/>
      <c r="E106" s="17"/>
      <c r="F106" s="16"/>
      <c r="G106" s="16"/>
      <c r="H106" s="16"/>
      <c r="I106" s="16"/>
      <c r="J106" s="17">
        <v>73782</v>
      </c>
      <c r="K106" s="16"/>
      <c r="L106" s="16"/>
      <c r="M106" s="16"/>
      <c r="N106" s="16"/>
      <c r="O106" s="16"/>
      <c r="P106" s="16"/>
      <c r="Q106" s="16"/>
      <c r="R106" s="16"/>
    </row>
    <row r="107" spans="2:18" x14ac:dyDescent="0.35">
      <c r="B107" s="14" t="s">
        <v>15</v>
      </c>
      <c r="C107" s="16"/>
      <c r="D107" s="16"/>
      <c r="E107" s="16"/>
      <c r="F107" s="16"/>
      <c r="G107" s="17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</row>
    <row r="108" spans="2:18" x14ac:dyDescent="0.35">
      <c r="B108" s="14" t="s">
        <v>42</v>
      </c>
      <c r="C108" s="16"/>
      <c r="D108" s="16"/>
      <c r="E108" s="16"/>
      <c r="F108" s="16"/>
      <c r="G108" s="16"/>
      <c r="H108" s="20"/>
      <c r="I108" s="16"/>
      <c r="J108" s="16"/>
      <c r="K108" s="16"/>
      <c r="L108" s="16"/>
      <c r="M108" s="16"/>
      <c r="N108" s="16"/>
      <c r="O108" s="16"/>
      <c r="P108" s="16"/>
      <c r="Q108" s="16"/>
      <c r="R108" s="16"/>
    </row>
    <row r="109" spans="2:18" x14ac:dyDescent="0.35">
      <c r="B109" s="14" t="s">
        <v>43</v>
      </c>
      <c r="C109" s="17"/>
      <c r="D109" s="16"/>
      <c r="E109" s="16"/>
      <c r="F109" s="16"/>
      <c r="G109" s="17"/>
      <c r="H109" s="17"/>
      <c r="I109" s="16"/>
      <c r="J109" s="16"/>
      <c r="K109" s="17"/>
      <c r="L109" s="16"/>
      <c r="M109" s="16"/>
      <c r="N109" s="16"/>
      <c r="O109" s="16"/>
      <c r="P109" s="16"/>
      <c r="Q109" s="16"/>
      <c r="R109" s="16"/>
    </row>
    <row r="110" spans="2:18" x14ac:dyDescent="0.35">
      <c r="B110" s="14" t="s">
        <v>44</v>
      </c>
      <c r="C110" s="16"/>
      <c r="D110" s="17"/>
      <c r="E110" s="16"/>
      <c r="F110" s="16"/>
      <c r="G110" s="17"/>
      <c r="H110" s="16"/>
      <c r="I110" s="16"/>
      <c r="J110" s="16"/>
      <c r="K110" s="16"/>
      <c r="L110" s="17"/>
      <c r="M110" s="16"/>
      <c r="N110" s="16"/>
      <c r="O110" s="16"/>
      <c r="P110" s="16"/>
      <c r="Q110" s="16"/>
      <c r="R110" s="16"/>
    </row>
    <row r="111" spans="2:18" x14ac:dyDescent="0.35">
      <c r="B111" s="14" t="s">
        <v>26</v>
      </c>
      <c r="C111" s="16"/>
      <c r="D111" s="16"/>
      <c r="E111" s="14"/>
      <c r="F111" s="16"/>
      <c r="G111" s="16"/>
      <c r="H111" s="16"/>
      <c r="I111" s="16"/>
      <c r="J111" s="14"/>
      <c r="K111" s="17">
        <v>12828</v>
      </c>
      <c r="L111" s="16"/>
      <c r="M111" s="14"/>
      <c r="N111" s="14"/>
      <c r="O111" s="14"/>
      <c r="P111" s="16"/>
      <c r="Q111" s="16"/>
      <c r="R111" s="16"/>
    </row>
    <row r="112" spans="2:18" x14ac:dyDescent="0.35">
      <c r="B112" s="14" t="s">
        <v>27</v>
      </c>
      <c r="C112" s="16"/>
      <c r="D112" s="16"/>
      <c r="E112" s="14"/>
      <c r="F112" s="16"/>
      <c r="G112" s="16"/>
      <c r="H112" s="16"/>
      <c r="I112" s="16"/>
      <c r="J112" s="14"/>
      <c r="K112" s="14"/>
      <c r="L112" s="16"/>
      <c r="M112" s="14"/>
      <c r="N112" s="14"/>
      <c r="O112" s="17">
        <v>597</v>
      </c>
      <c r="P112" s="16"/>
      <c r="Q112" s="16"/>
      <c r="R112" s="16"/>
    </row>
    <row r="113" spans="2:18" x14ac:dyDescent="0.35">
      <c r="B113" s="14" t="s">
        <v>29</v>
      </c>
      <c r="C113" s="16"/>
      <c r="D113" s="16"/>
      <c r="E113" s="17"/>
      <c r="F113" s="16"/>
      <c r="G113" s="16"/>
      <c r="H113" s="16"/>
      <c r="I113" s="17"/>
      <c r="J113" s="17">
        <v>63742</v>
      </c>
      <c r="K113" s="16"/>
      <c r="L113" s="16"/>
      <c r="M113" s="14"/>
      <c r="N113" s="17"/>
      <c r="O113" s="14"/>
      <c r="P113" s="16"/>
      <c r="Q113" s="16"/>
      <c r="R113" s="16"/>
    </row>
    <row r="114" spans="2:18" x14ac:dyDescent="0.35">
      <c r="B114" s="14" t="s">
        <v>32</v>
      </c>
      <c r="C114" s="16"/>
      <c r="D114" s="16"/>
      <c r="E114" s="17">
        <v>73782</v>
      </c>
      <c r="F114" s="16"/>
      <c r="G114" s="16"/>
      <c r="H114" s="16"/>
      <c r="I114" s="17"/>
      <c r="J114" s="14"/>
      <c r="K114" s="14"/>
      <c r="L114" s="16"/>
      <c r="M114" s="16"/>
      <c r="N114" s="14"/>
      <c r="O114" s="14"/>
      <c r="P114" s="16"/>
      <c r="Q114" s="16"/>
      <c r="R114" s="16"/>
    </row>
    <row r="115" spans="2:18" x14ac:dyDescent="0.35">
      <c r="B115" s="14" t="s">
        <v>45</v>
      </c>
      <c r="C115" s="16"/>
      <c r="D115" s="16"/>
      <c r="E115" s="14"/>
      <c r="F115" s="16"/>
      <c r="G115" s="16"/>
      <c r="H115" s="16"/>
      <c r="I115" s="16"/>
      <c r="J115" s="17"/>
      <c r="K115" s="14"/>
      <c r="L115" s="16"/>
      <c r="M115" s="17">
        <v>1034</v>
      </c>
      <c r="N115" s="17"/>
      <c r="O115" s="14"/>
      <c r="P115" s="16"/>
      <c r="Q115" s="16"/>
      <c r="R115" s="16"/>
    </row>
    <row r="117" spans="2:18" x14ac:dyDescent="0.35">
      <c r="B117">
        <v>6</v>
      </c>
      <c r="C117" s="14" t="s">
        <v>5</v>
      </c>
      <c r="D117" s="14" t="s">
        <v>17</v>
      </c>
      <c r="E117" s="14" t="s">
        <v>6</v>
      </c>
      <c r="F117" s="14" t="s">
        <v>19</v>
      </c>
      <c r="G117" s="14" t="s">
        <v>23</v>
      </c>
      <c r="H117" s="14" t="s">
        <v>24</v>
      </c>
      <c r="I117" t="s">
        <v>9</v>
      </c>
      <c r="J117" s="14" t="s">
        <v>10</v>
      </c>
      <c r="K117" s="14" t="s">
        <v>11</v>
      </c>
      <c r="L117" s="14" t="s">
        <v>34</v>
      </c>
      <c r="M117" s="14" t="s">
        <v>13</v>
      </c>
      <c r="N117" s="14" t="s">
        <v>14</v>
      </c>
      <c r="O117" s="14" t="s">
        <v>15</v>
      </c>
      <c r="P117" s="14" t="s">
        <v>42</v>
      </c>
      <c r="Q117" s="14" t="s">
        <v>43</v>
      </c>
      <c r="R117" s="14" t="s">
        <v>44</v>
      </c>
    </row>
    <row r="118" spans="2:18" x14ac:dyDescent="0.35">
      <c r="B118" s="14" t="s">
        <v>5</v>
      </c>
      <c r="C118" s="16"/>
      <c r="D118" s="16"/>
      <c r="E118" s="16"/>
      <c r="F118" s="17">
        <v>13320</v>
      </c>
      <c r="G118" s="16"/>
      <c r="H118" s="17"/>
      <c r="I118" s="16"/>
      <c r="J118" s="17"/>
      <c r="K118" s="17">
        <v>124204</v>
      </c>
      <c r="L118" s="16"/>
      <c r="M118" s="16"/>
      <c r="N118" s="16"/>
      <c r="O118" s="16"/>
      <c r="P118" s="16"/>
      <c r="Q118" s="17"/>
      <c r="R118" s="16"/>
    </row>
    <row r="119" spans="2:18" x14ac:dyDescent="0.35">
      <c r="B119" s="14" t="s">
        <v>17</v>
      </c>
      <c r="C119" s="16"/>
      <c r="D119" s="16"/>
      <c r="E119" s="16"/>
      <c r="F119" s="16"/>
      <c r="G119" s="17"/>
      <c r="H119" s="17"/>
      <c r="I119" s="16"/>
      <c r="J119" s="16"/>
      <c r="K119" s="16"/>
      <c r="L119" s="17"/>
      <c r="M119" s="16"/>
      <c r="N119" s="16"/>
      <c r="O119" s="16"/>
      <c r="P119" s="16"/>
      <c r="Q119" s="16"/>
      <c r="R119" s="17"/>
    </row>
    <row r="120" spans="2:18" x14ac:dyDescent="0.35">
      <c r="B120" s="14" t="s">
        <v>6</v>
      </c>
      <c r="C120" s="16"/>
      <c r="D120" s="16"/>
      <c r="E120" s="16"/>
      <c r="F120" s="16"/>
      <c r="G120" s="16"/>
      <c r="H120" s="16"/>
      <c r="I120" s="17"/>
      <c r="J120" s="16"/>
      <c r="K120" s="16"/>
      <c r="L120" s="16"/>
      <c r="M120" s="16"/>
      <c r="N120" s="17">
        <v>73782</v>
      </c>
      <c r="O120" s="16"/>
      <c r="P120" s="16"/>
      <c r="Q120" s="16"/>
      <c r="R120" s="16"/>
    </row>
    <row r="121" spans="2:18" x14ac:dyDescent="0.35">
      <c r="B121" s="14" t="s">
        <v>19</v>
      </c>
      <c r="C121" s="17"/>
      <c r="D121" s="16"/>
      <c r="E121" s="16"/>
      <c r="F121" s="16"/>
      <c r="G121" s="16"/>
      <c r="H121" s="17"/>
      <c r="I121" s="16"/>
      <c r="J121" s="16"/>
      <c r="K121" s="16"/>
      <c r="L121" s="16"/>
      <c r="M121" s="17">
        <v>13320</v>
      </c>
      <c r="N121" s="16"/>
      <c r="O121" s="16"/>
      <c r="P121" s="16"/>
      <c r="Q121" s="16"/>
      <c r="R121" s="16"/>
    </row>
    <row r="122" spans="2:18" x14ac:dyDescent="0.35">
      <c r="B122" s="14" t="s">
        <v>23</v>
      </c>
      <c r="C122" s="16"/>
      <c r="D122" s="17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7"/>
      <c r="P122" s="16"/>
      <c r="Q122" s="17"/>
      <c r="R122" s="17"/>
    </row>
    <row r="123" spans="2:18" x14ac:dyDescent="0.35">
      <c r="B123" s="14" t="s">
        <v>24</v>
      </c>
      <c r="C123" s="17"/>
      <c r="D123" s="17"/>
      <c r="E123" s="16"/>
      <c r="F123" s="17"/>
      <c r="G123" s="16"/>
      <c r="H123" s="16"/>
      <c r="I123" s="16"/>
      <c r="J123" s="16"/>
      <c r="K123" s="16"/>
      <c r="L123" s="17"/>
      <c r="M123" s="17"/>
      <c r="N123" s="16"/>
      <c r="O123" s="16"/>
      <c r="P123" s="20"/>
      <c r="Q123" s="17"/>
      <c r="R123" s="16"/>
    </row>
    <row r="124" spans="2:18" x14ac:dyDescent="0.35">
      <c r="B124" s="14" t="s">
        <v>9</v>
      </c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</row>
    <row r="125" spans="2:18" x14ac:dyDescent="0.35">
      <c r="B125" s="14" t="s">
        <v>10</v>
      </c>
      <c r="C125" s="17">
        <v>137524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7"/>
      <c r="O125" s="16"/>
      <c r="P125" s="16"/>
      <c r="Q125" s="16"/>
      <c r="R125" s="16"/>
    </row>
    <row r="126" spans="2:18" x14ac:dyDescent="0.35">
      <c r="B126" s="14" t="s">
        <v>11</v>
      </c>
      <c r="C126" s="17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7"/>
      <c r="R126" s="16"/>
    </row>
    <row r="127" spans="2:18" x14ac:dyDescent="0.35">
      <c r="B127" s="14" t="s">
        <v>34</v>
      </c>
      <c r="C127" s="16"/>
      <c r="D127" s="17"/>
      <c r="E127" s="16"/>
      <c r="F127" s="16"/>
      <c r="G127" s="16"/>
      <c r="H127" s="17"/>
      <c r="I127" s="16"/>
      <c r="J127" s="16"/>
      <c r="K127" s="16"/>
      <c r="L127" s="16"/>
      <c r="M127" s="16"/>
      <c r="N127" s="16"/>
      <c r="O127" s="16"/>
      <c r="P127" s="16"/>
      <c r="Q127" s="16"/>
      <c r="R127" s="17"/>
    </row>
    <row r="128" spans="2:18" x14ac:dyDescent="0.35">
      <c r="B128" s="14" t="s">
        <v>13</v>
      </c>
      <c r="C128" s="16"/>
      <c r="D128" s="16"/>
      <c r="E128" s="16"/>
      <c r="F128" s="17"/>
      <c r="G128" s="16"/>
      <c r="H128" s="17"/>
      <c r="I128" s="16"/>
      <c r="J128" s="16"/>
      <c r="K128" s="16"/>
      <c r="L128" s="16"/>
      <c r="M128" s="16"/>
      <c r="N128" s="16"/>
      <c r="O128" s="16"/>
      <c r="P128" s="16"/>
      <c r="Q128" s="16"/>
      <c r="R128" s="16"/>
    </row>
    <row r="129" spans="2:18" x14ac:dyDescent="0.35">
      <c r="B129" s="14" t="s">
        <v>14</v>
      </c>
      <c r="C129" s="16"/>
      <c r="D129" s="16"/>
      <c r="E129" s="17"/>
      <c r="F129" s="16"/>
      <c r="G129" s="16"/>
      <c r="H129" s="16"/>
      <c r="I129" s="16"/>
      <c r="J129" s="17">
        <v>73782</v>
      </c>
      <c r="K129" s="16"/>
      <c r="L129" s="16"/>
      <c r="M129" s="16"/>
      <c r="N129" s="16"/>
      <c r="O129" s="16"/>
      <c r="P129" s="16"/>
      <c r="Q129" s="16"/>
      <c r="R129" s="16"/>
    </row>
    <row r="130" spans="2:18" x14ac:dyDescent="0.35">
      <c r="B130" s="14" t="s">
        <v>15</v>
      </c>
      <c r="C130" s="16"/>
      <c r="D130" s="16"/>
      <c r="E130" s="16"/>
      <c r="F130" s="16"/>
      <c r="G130" s="17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 spans="2:18" x14ac:dyDescent="0.35">
      <c r="B131" s="14" t="s">
        <v>42</v>
      </c>
      <c r="C131" s="16"/>
      <c r="D131" s="16"/>
      <c r="E131" s="16"/>
      <c r="F131" s="16"/>
      <c r="G131" s="16"/>
      <c r="H131" s="20"/>
      <c r="I131" s="16"/>
      <c r="J131" s="16"/>
      <c r="K131" s="16"/>
      <c r="L131" s="16"/>
      <c r="M131" s="16"/>
      <c r="N131" s="16"/>
      <c r="O131" s="16"/>
      <c r="P131" s="16"/>
      <c r="Q131" s="16"/>
      <c r="R131" s="16"/>
    </row>
    <row r="132" spans="2:18" x14ac:dyDescent="0.35">
      <c r="B132" s="14" t="s">
        <v>43</v>
      </c>
      <c r="C132" s="17"/>
      <c r="D132" s="16"/>
      <c r="E132" s="16"/>
      <c r="F132" s="16"/>
      <c r="G132" s="17"/>
      <c r="H132" s="17"/>
      <c r="I132" s="16"/>
      <c r="J132" s="16"/>
      <c r="K132" s="17"/>
      <c r="L132" s="16"/>
      <c r="M132" s="16"/>
      <c r="N132" s="16"/>
      <c r="O132" s="16"/>
      <c r="P132" s="16"/>
      <c r="Q132" s="16"/>
      <c r="R132" s="16"/>
    </row>
    <row r="133" spans="2:18" x14ac:dyDescent="0.35">
      <c r="B133" s="14" t="s">
        <v>44</v>
      </c>
      <c r="C133" s="16"/>
      <c r="D133" s="17"/>
      <c r="E133" s="16"/>
      <c r="F133" s="16"/>
      <c r="G133" s="17"/>
      <c r="H133" s="16"/>
      <c r="I133" s="16"/>
      <c r="J133" s="16"/>
      <c r="K133" s="16"/>
      <c r="L133" s="17"/>
      <c r="M133" s="16"/>
      <c r="N133" s="16"/>
      <c r="O133" s="16"/>
      <c r="P133" s="16"/>
      <c r="Q133" s="16"/>
      <c r="R133" s="16"/>
    </row>
    <row r="134" spans="2:18" x14ac:dyDescent="0.35">
      <c r="B134" s="14" t="s">
        <v>26</v>
      </c>
      <c r="C134" s="16"/>
      <c r="D134" s="16"/>
      <c r="E134" s="14"/>
      <c r="F134" s="16"/>
      <c r="G134" s="16"/>
      <c r="H134" s="16"/>
      <c r="I134" s="16"/>
      <c r="J134" s="14"/>
      <c r="K134" s="17">
        <v>12828</v>
      </c>
      <c r="L134" s="16"/>
      <c r="M134" s="14"/>
      <c r="N134" s="14"/>
      <c r="O134" s="14"/>
      <c r="P134" s="16"/>
      <c r="Q134" s="16"/>
      <c r="R134" s="16"/>
    </row>
    <row r="135" spans="2:18" x14ac:dyDescent="0.35">
      <c r="B135" s="14" t="s">
        <v>27</v>
      </c>
      <c r="C135" s="16"/>
      <c r="D135" s="16"/>
      <c r="E135" s="14"/>
      <c r="F135" s="16"/>
      <c r="G135" s="16"/>
      <c r="H135" s="16"/>
      <c r="I135" s="16"/>
      <c r="J135" s="14"/>
      <c r="K135" s="14"/>
      <c r="L135" s="16"/>
      <c r="M135" s="14"/>
      <c r="N135" s="14"/>
      <c r="O135" s="17">
        <v>597</v>
      </c>
      <c r="P135" s="16"/>
      <c r="Q135" s="16"/>
      <c r="R135" s="16"/>
    </row>
    <row r="136" spans="2:18" x14ac:dyDescent="0.35">
      <c r="B136" s="14" t="s">
        <v>29</v>
      </c>
      <c r="C136" s="16"/>
      <c r="D136" s="16"/>
      <c r="E136" s="17"/>
      <c r="F136" s="16"/>
      <c r="G136" s="16"/>
      <c r="H136" s="16"/>
      <c r="I136" s="17"/>
      <c r="J136" s="17">
        <v>63742</v>
      </c>
      <c r="K136" s="16"/>
      <c r="L136" s="16"/>
      <c r="M136" s="14"/>
      <c r="N136" s="17"/>
      <c r="O136" s="14"/>
      <c r="P136" s="16"/>
      <c r="Q136" s="16"/>
      <c r="R136" s="16"/>
    </row>
    <row r="137" spans="2:18" x14ac:dyDescent="0.35">
      <c r="B137" s="14" t="s">
        <v>32</v>
      </c>
      <c r="C137" s="16"/>
      <c r="D137" s="16"/>
      <c r="E137" s="17">
        <v>73782</v>
      </c>
      <c r="F137" s="16"/>
      <c r="G137" s="16"/>
      <c r="H137" s="16"/>
      <c r="I137" s="17"/>
      <c r="J137" s="14"/>
      <c r="K137" s="14"/>
      <c r="L137" s="16"/>
      <c r="M137" s="16"/>
      <c r="N137" s="14"/>
      <c r="O137" s="14"/>
      <c r="P137" s="16"/>
      <c r="Q137" s="16"/>
      <c r="R137" s="16"/>
    </row>
    <row r="138" spans="2:18" x14ac:dyDescent="0.35">
      <c r="B138" s="14" t="s">
        <v>45</v>
      </c>
      <c r="C138" s="16"/>
      <c r="D138" s="16"/>
      <c r="E138" s="14"/>
      <c r="F138" s="16"/>
      <c r="G138" s="16"/>
      <c r="H138" s="16"/>
      <c r="I138" s="16"/>
      <c r="J138" s="17"/>
      <c r="K138" s="14"/>
      <c r="L138" s="16"/>
      <c r="M138" s="17">
        <v>1034</v>
      </c>
      <c r="N138" s="17"/>
      <c r="O138" s="14"/>
      <c r="P138" s="16"/>
      <c r="Q138" s="16"/>
      <c r="R138" s="16"/>
    </row>
    <row r="140" spans="2:18" x14ac:dyDescent="0.35">
      <c r="B140">
        <v>7</v>
      </c>
      <c r="C140" s="14" t="s">
        <v>5</v>
      </c>
      <c r="D140" s="14" t="s">
        <v>17</v>
      </c>
      <c r="E140" s="14" t="s">
        <v>6</v>
      </c>
      <c r="F140" s="14" t="s">
        <v>19</v>
      </c>
      <c r="G140" s="14" t="s">
        <v>23</v>
      </c>
      <c r="H140" s="14" t="s">
        <v>24</v>
      </c>
      <c r="I140" t="s">
        <v>9</v>
      </c>
      <c r="J140" s="14" t="s">
        <v>10</v>
      </c>
      <c r="K140" s="14" t="s">
        <v>11</v>
      </c>
      <c r="L140" s="14" t="s">
        <v>34</v>
      </c>
      <c r="M140" s="14" t="s">
        <v>13</v>
      </c>
      <c r="N140" s="14" t="s">
        <v>14</v>
      </c>
      <c r="O140" s="14" t="s">
        <v>15</v>
      </c>
      <c r="P140" s="14" t="s">
        <v>42</v>
      </c>
      <c r="Q140" s="14" t="s">
        <v>43</v>
      </c>
      <c r="R140" s="14" t="s">
        <v>44</v>
      </c>
    </row>
    <row r="141" spans="2:18" x14ac:dyDescent="0.35">
      <c r="B141" s="14" t="s">
        <v>5</v>
      </c>
      <c r="C141" s="16"/>
      <c r="D141" s="16"/>
      <c r="E141" s="16"/>
      <c r="F141" s="17"/>
      <c r="G141" s="16"/>
      <c r="H141" s="17">
        <v>132745</v>
      </c>
      <c r="I141" s="16"/>
      <c r="J141" s="17"/>
      <c r="K141" s="17">
        <v>4779</v>
      </c>
      <c r="L141" s="16"/>
      <c r="M141" s="16"/>
      <c r="N141" s="16"/>
      <c r="O141" s="16"/>
      <c r="P141" s="16"/>
      <c r="Q141" s="17"/>
      <c r="R141" s="16"/>
    </row>
    <row r="142" spans="2:18" x14ac:dyDescent="0.35">
      <c r="B142" s="14" t="s">
        <v>17</v>
      </c>
      <c r="C142" s="16"/>
      <c r="D142" s="16"/>
      <c r="E142" s="16"/>
      <c r="F142" s="16"/>
      <c r="G142" s="17"/>
      <c r="H142" s="17"/>
      <c r="I142" s="16"/>
      <c r="J142" s="16"/>
      <c r="K142" s="16"/>
      <c r="L142" s="17"/>
      <c r="M142" s="16"/>
      <c r="N142" s="16"/>
      <c r="O142" s="16"/>
      <c r="P142" s="16"/>
      <c r="Q142" s="16"/>
      <c r="R142" s="17"/>
    </row>
    <row r="143" spans="2:18" x14ac:dyDescent="0.35">
      <c r="B143" s="14" t="s">
        <v>6</v>
      </c>
      <c r="C143" s="16"/>
      <c r="D143" s="16"/>
      <c r="E143" s="16"/>
      <c r="F143" s="16"/>
      <c r="G143" s="16"/>
      <c r="H143" s="16"/>
      <c r="I143" s="17"/>
      <c r="J143" s="16"/>
      <c r="K143" s="16"/>
      <c r="L143" s="16"/>
      <c r="M143" s="16"/>
      <c r="N143" s="17">
        <v>73782</v>
      </c>
      <c r="O143" s="16"/>
      <c r="P143" s="16"/>
      <c r="Q143" s="16"/>
      <c r="R143" s="16"/>
    </row>
    <row r="144" spans="2:18" x14ac:dyDescent="0.35">
      <c r="B144" s="14" t="s">
        <v>19</v>
      </c>
      <c r="C144" s="17"/>
      <c r="D144" s="16"/>
      <c r="E144" s="16"/>
      <c r="F144" s="16"/>
      <c r="G144" s="16"/>
      <c r="H144" s="17"/>
      <c r="I144" s="16"/>
      <c r="J144" s="16"/>
      <c r="K144" s="16"/>
      <c r="L144" s="16"/>
      <c r="M144" s="17"/>
      <c r="N144" s="16"/>
      <c r="O144" s="16"/>
      <c r="P144" s="16"/>
      <c r="Q144" s="16"/>
      <c r="R144" s="16"/>
    </row>
    <row r="145" spans="2:18" x14ac:dyDescent="0.35">
      <c r="B145" s="14" t="s">
        <v>23</v>
      </c>
      <c r="C145" s="16"/>
      <c r="D145" s="17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7"/>
      <c r="P145" s="16"/>
      <c r="Q145" s="17"/>
      <c r="R145" s="17"/>
    </row>
    <row r="146" spans="2:18" x14ac:dyDescent="0.35">
      <c r="B146" s="14" t="s">
        <v>24</v>
      </c>
      <c r="C146" s="17"/>
      <c r="D146" s="17">
        <v>47267</v>
      </c>
      <c r="E146" s="16"/>
      <c r="F146" s="17"/>
      <c r="G146" s="16"/>
      <c r="H146" s="16"/>
      <c r="I146" s="16"/>
      <c r="J146" s="16"/>
      <c r="K146" s="16"/>
      <c r="L146" s="17">
        <v>86512</v>
      </c>
      <c r="M146" s="17"/>
      <c r="N146" s="16"/>
      <c r="O146" s="16"/>
      <c r="P146" s="20"/>
      <c r="Q146" s="17"/>
      <c r="R146" s="16"/>
    </row>
    <row r="147" spans="2:18" x14ac:dyDescent="0.35">
      <c r="B147" s="14" t="s">
        <v>9</v>
      </c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</row>
    <row r="148" spans="2:18" x14ac:dyDescent="0.35">
      <c r="B148" s="14" t="s">
        <v>10</v>
      </c>
      <c r="C148" s="17">
        <v>137524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7"/>
      <c r="O148" s="16"/>
      <c r="P148" s="16"/>
      <c r="Q148" s="16"/>
      <c r="R148" s="16"/>
    </row>
    <row r="149" spans="2:18" x14ac:dyDescent="0.35">
      <c r="B149" s="14" t="s">
        <v>11</v>
      </c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7"/>
      <c r="R149" s="16"/>
    </row>
    <row r="150" spans="2:18" x14ac:dyDescent="0.35">
      <c r="B150" s="14" t="s">
        <v>34</v>
      </c>
      <c r="C150" s="16"/>
      <c r="D150" s="17"/>
      <c r="E150" s="16"/>
      <c r="F150" s="16"/>
      <c r="G150" s="16"/>
      <c r="H150" s="17"/>
      <c r="I150" s="16"/>
      <c r="J150" s="16"/>
      <c r="K150" s="16"/>
      <c r="L150" s="16"/>
      <c r="M150" s="16"/>
      <c r="N150" s="16"/>
      <c r="O150" s="16"/>
      <c r="P150" s="16"/>
      <c r="Q150" s="16"/>
      <c r="R150" s="17"/>
    </row>
    <row r="151" spans="2:18" x14ac:dyDescent="0.35">
      <c r="B151" s="14" t="s">
        <v>13</v>
      </c>
      <c r="C151" s="16"/>
      <c r="D151" s="16"/>
      <c r="E151" s="16"/>
      <c r="F151" s="17"/>
      <c r="G151" s="16"/>
      <c r="H151" s="17">
        <v>1034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</row>
    <row r="152" spans="2:18" x14ac:dyDescent="0.35">
      <c r="B152" s="14" t="s">
        <v>14</v>
      </c>
      <c r="C152" s="16"/>
      <c r="D152" s="16"/>
      <c r="E152" s="17"/>
      <c r="F152" s="16"/>
      <c r="G152" s="16"/>
      <c r="H152" s="16"/>
      <c r="I152" s="16"/>
      <c r="J152" s="17">
        <v>73782</v>
      </c>
      <c r="K152" s="16"/>
      <c r="L152" s="16"/>
      <c r="M152" s="16"/>
      <c r="N152" s="16"/>
      <c r="O152" s="16"/>
      <c r="P152" s="16"/>
      <c r="Q152" s="16"/>
      <c r="R152" s="16"/>
    </row>
    <row r="153" spans="2:18" x14ac:dyDescent="0.35">
      <c r="B153" s="14" t="s">
        <v>15</v>
      </c>
      <c r="C153" s="16"/>
      <c r="D153" s="16"/>
      <c r="E153" s="16"/>
      <c r="F153" s="16"/>
      <c r="G153" s="17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</row>
    <row r="154" spans="2:18" x14ac:dyDescent="0.35">
      <c r="B154" s="14" t="s">
        <v>42</v>
      </c>
      <c r="C154" s="16"/>
      <c r="D154" s="16"/>
      <c r="E154" s="16"/>
      <c r="F154" s="16"/>
      <c r="G154" s="16"/>
      <c r="H154" s="20"/>
      <c r="I154" s="16"/>
      <c r="J154" s="16"/>
      <c r="K154" s="16"/>
      <c r="L154" s="16"/>
      <c r="M154" s="16"/>
      <c r="N154" s="16"/>
      <c r="O154" s="16"/>
      <c r="P154" s="16"/>
      <c r="Q154" s="16"/>
      <c r="R154" s="16"/>
    </row>
    <row r="155" spans="2:18" x14ac:dyDescent="0.35">
      <c r="B155" s="14" t="s">
        <v>43</v>
      </c>
      <c r="C155" s="17"/>
      <c r="D155" s="16"/>
      <c r="E155" s="16"/>
      <c r="F155" s="16"/>
      <c r="G155" s="17"/>
      <c r="H155" s="17"/>
      <c r="I155" s="16"/>
      <c r="J155" s="16"/>
      <c r="K155" s="17"/>
      <c r="L155" s="16"/>
      <c r="M155" s="16"/>
      <c r="N155" s="16"/>
      <c r="O155" s="16"/>
      <c r="P155" s="16"/>
      <c r="Q155" s="16"/>
      <c r="R155" s="16"/>
    </row>
    <row r="156" spans="2:18" x14ac:dyDescent="0.35">
      <c r="B156" s="14" t="s">
        <v>44</v>
      </c>
      <c r="C156" s="16"/>
      <c r="D156" s="17"/>
      <c r="E156" s="16"/>
      <c r="F156" s="16"/>
      <c r="G156" s="17"/>
      <c r="H156" s="16"/>
      <c r="I156" s="16"/>
      <c r="J156" s="16"/>
      <c r="K156" s="16"/>
      <c r="L156" s="17"/>
      <c r="M156" s="16"/>
      <c r="N156" s="16"/>
      <c r="O156" s="16"/>
      <c r="P156" s="16"/>
      <c r="Q156" s="16"/>
      <c r="R156" s="16"/>
    </row>
    <row r="157" spans="2:18" x14ac:dyDescent="0.35">
      <c r="B157" s="14" t="s">
        <v>26</v>
      </c>
      <c r="C157" s="16"/>
      <c r="D157" s="16"/>
      <c r="E157" s="14"/>
      <c r="F157" s="16"/>
      <c r="G157" s="16"/>
      <c r="H157" s="16"/>
      <c r="I157" s="16"/>
      <c r="J157" s="14"/>
      <c r="K157" s="17">
        <v>12828</v>
      </c>
      <c r="L157" s="16"/>
      <c r="M157" s="14"/>
      <c r="N157" s="14"/>
      <c r="O157" s="14"/>
      <c r="P157" s="16"/>
      <c r="Q157" s="16"/>
      <c r="R157" s="16"/>
    </row>
    <row r="158" spans="2:18" x14ac:dyDescent="0.35">
      <c r="B158" s="14" t="s">
        <v>27</v>
      </c>
      <c r="C158" s="16"/>
      <c r="D158" s="16"/>
      <c r="E158" s="14"/>
      <c r="F158" s="16"/>
      <c r="G158" s="16"/>
      <c r="H158" s="16"/>
      <c r="I158" s="16"/>
      <c r="J158" s="14"/>
      <c r="K158" s="14"/>
      <c r="L158" s="16"/>
      <c r="M158" s="14"/>
      <c r="N158" s="14"/>
      <c r="O158" s="17">
        <v>597</v>
      </c>
      <c r="P158" s="16"/>
      <c r="Q158" s="16"/>
      <c r="R158" s="16"/>
    </row>
    <row r="159" spans="2:18" x14ac:dyDescent="0.35">
      <c r="B159" s="14" t="s">
        <v>29</v>
      </c>
      <c r="C159" s="16"/>
      <c r="D159" s="16"/>
      <c r="E159" s="17"/>
      <c r="F159" s="16"/>
      <c r="G159" s="16"/>
      <c r="H159" s="16"/>
      <c r="I159" s="17"/>
      <c r="J159" s="17">
        <v>63742</v>
      </c>
      <c r="K159" s="16"/>
      <c r="L159" s="16"/>
      <c r="M159" s="14"/>
      <c r="N159" s="17"/>
      <c r="O159" s="14"/>
      <c r="P159" s="16"/>
      <c r="Q159" s="16"/>
      <c r="R159" s="16"/>
    </row>
    <row r="160" spans="2:18" x14ac:dyDescent="0.35">
      <c r="B160" s="14" t="s">
        <v>32</v>
      </c>
      <c r="C160" s="16"/>
      <c r="D160" s="16"/>
      <c r="E160" s="17">
        <v>73782</v>
      </c>
      <c r="F160" s="16"/>
      <c r="G160" s="16"/>
      <c r="H160" s="16"/>
      <c r="I160" s="17"/>
      <c r="J160" s="14"/>
      <c r="K160" s="14"/>
      <c r="L160" s="16"/>
      <c r="M160" s="16"/>
      <c r="N160" s="14"/>
      <c r="O160" s="14"/>
      <c r="P160" s="16"/>
      <c r="Q160" s="16"/>
      <c r="R160" s="16"/>
    </row>
    <row r="161" spans="2:18" x14ac:dyDescent="0.35">
      <c r="B161" s="14" t="s">
        <v>45</v>
      </c>
      <c r="C161" s="16"/>
      <c r="D161" s="16"/>
      <c r="E161" s="14"/>
      <c r="F161" s="16"/>
      <c r="G161" s="16"/>
      <c r="H161" s="16"/>
      <c r="I161" s="16"/>
      <c r="J161" s="17"/>
      <c r="K161" s="14"/>
      <c r="L161" s="16"/>
      <c r="M161" s="17">
        <v>1034</v>
      </c>
      <c r="N161" s="17"/>
      <c r="O161" s="14"/>
      <c r="P161" s="16"/>
      <c r="Q161" s="16"/>
      <c r="R161" s="16"/>
    </row>
    <row r="163" spans="2:18" x14ac:dyDescent="0.35">
      <c r="B163">
        <v>8</v>
      </c>
      <c r="C163" s="14" t="s">
        <v>5</v>
      </c>
      <c r="D163" s="14" t="s">
        <v>17</v>
      </c>
      <c r="E163" s="14" t="s">
        <v>6</v>
      </c>
      <c r="F163" s="14" t="s">
        <v>19</v>
      </c>
      <c r="G163" s="14" t="s">
        <v>23</v>
      </c>
      <c r="H163" s="14" t="s">
        <v>24</v>
      </c>
      <c r="I163" t="s">
        <v>9</v>
      </c>
      <c r="J163" s="14" t="s">
        <v>10</v>
      </c>
      <c r="K163" s="14" t="s">
        <v>11</v>
      </c>
      <c r="L163" s="14" t="s">
        <v>34</v>
      </c>
      <c r="M163" s="14" t="s">
        <v>13</v>
      </c>
      <c r="N163" s="14" t="s">
        <v>14</v>
      </c>
      <c r="O163" s="14" t="s">
        <v>15</v>
      </c>
      <c r="P163" s="14" t="s">
        <v>42</v>
      </c>
      <c r="Q163" s="14" t="s">
        <v>43</v>
      </c>
      <c r="R163" s="14" t="s">
        <v>44</v>
      </c>
    </row>
    <row r="164" spans="2:18" x14ac:dyDescent="0.35">
      <c r="B164" s="14" t="s">
        <v>5</v>
      </c>
      <c r="C164" s="16"/>
      <c r="D164" s="16"/>
      <c r="E164" s="16"/>
      <c r="F164" s="17"/>
      <c r="G164" s="16"/>
      <c r="H164" s="17"/>
      <c r="I164" s="16"/>
      <c r="J164" s="17"/>
      <c r="K164" s="17"/>
      <c r="L164" s="16"/>
      <c r="M164" s="16"/>
      <c r="N164" s="16"/>
      <c r="O164" s="16"/>
      <c r="P164" s="16"/>
      <c r="Q164" s="17">
        <v>137524</v>
      </c>
      <c r="R164" s="16"/>
    </row>
    <row r="165" spans="2:18" x14ac:dyDescent="0.35">
      <c r="B165" s="14" t="s">
        <v>17</v>
      </c>
      <c r="C165" s="16"/>
      <c r="D165" s="16"/>
      <c r="E165" s="16"/>
      <c r="F165" s="16"/>
      <c r="G165" s="17"/>
      <c r="H165" s="17"/>
      <c r="I165" s="16"/>
      <c r="J165" s="16"/>
      <c r="K165" s="16"/>
      <c r="L165" s="17"/>
      <c r="M165" s="16"/>
      <c r="N165" s="16"/>
      <c r="O165" s="16"/>
      <c r="P165" s="16"/>
      <c r="Q165" s="16"/>
      <c r="R165" s="17">
        <v>907</v>
      </c>
    </row>
    <row r="166" spans="2:18" x14ac:dyDescent="0.35">
      <c r="B166" s="14" t="s">
        <v>6</v>
      </c>
      <c r="C166" s="16"/>
      <c r="D166" s="16"/>
      <c r="E166" s="16"/>
      <c r="F166" s="16"/>
      <c r="G166" s="16"/>
      <c r="H166" s="16"/>
      <c r="I166" s="17"/>
      <c r="J166" s="16"/>
      <c r="K166" s="16"/>
      <c r="L166" s="16"/>
      <c r="M166" s="16"/>
      <c r="N166" s="17">
        <v>73782</v>
      </c>
      <c r="O166" s="16"/>
      <c r="P166" s="16"/>
      <c r="Q166" s="16"/>
      <c r="R166" s="16"/>
    </row>
    <row r="167" spans="2:18" x14ac:dyDescent="0.35">
      <c r="B167" s="14" t="s">
        <v>19</v>
      </c>
      <c r="C167" s="17"/>
      <c r="D167" s="16"/>
      <c r="E167" s="16"/>
      <c r="F167" s="16"/>
      <c r="G167" s="16"/>
      <c r="H167" s="17"/>
      <c r="I167" s="16"/>
      <c r="J167" s="16"/>
      <c r="K167" s="16"/>
      <c r="L167" s="16"/>
      <c r="M167" s="17"/>
      <c r="N167" s="16"/>
      <c r="O167" s="16"/>
      <c r="P167" s="16"/>
      <c r="Q167" s="16"/>
      <c r="R167" s="16"/>
    </row>
    <row r="168" spans="2:18" x14ac:dyDescent="0.35">
      <c r="B168" s="14" t="s">
        <v>23</v>
      </c>
      <c r="C168" s="16"/>
      <c r="D168" s="17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7"/>
      <c r="P168" s="16"/>
      <c r="Q168" s="17"/>
      <c r="R168" s="17"/>
    </row>
    <row r="169" spans="2:18" x14ac:dyDescent="0.35">
      <c r="B169" s="14" t="s">
        <v>24</v>
      </c>
      <c r="C169" s="17"/>
      <c r="D169" s="17">
        <v>1034</v>
      </c>
      <c r="E169" s="16"/>
      <c r="F169" s="17"/>
      <c r="G169" s="16"/>
      <c r="H169" s="16"/>
      <c r="I169" s="16"/>
      <c r="J169" s="16"/>
      <c r="K169" s="16"/>
      <c r="L169" s="17"/>
      <c r="M169" s="17"/>
      <c r="N169" s="16"/>
      <c r="O169" s="16"/>
      <c r="P169" s="20"/>
      <c r="Q169" s="17"/>
      <c r="R169" s="16"/>
    </row>
    <row r="170" spans="2:18" x14ac:dyDescent="0.35">
      <c r="B170" s="14" t="s">
        <v>9</v>
      </c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</row>
    <row r="171" spans="2:18" x14ac:dyDescent="0.35">
      <c r="B171" s="14" t="s">
        <v>10</v>
      </c>
      <c r="C171" s="17">
        <v>137524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7"/>
      <c r="O171" s="16"/>
      <c r="P171" s="16"/>
      <c r="Q171" s="16"/>
      <c r="R171" s="16"/>
    </row>
    <row r="172" spans="2:18" x14ac:dyDescent="0.35">
      <c r="B172" s="14" t="s">
        <v>11</v>
      </c>
      <c r="C172" s="17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7">
        <v>12828</v>
      </c>
      <c r="R172" s="16"/>
    </row>
    <row r="173" spans="2:18" x14ac:dyDescent="0.35">
      <c r="B173" s="14" t="s">
        <v>34</v>
      </c>
      <c r="C173" s="16"/>
      <c r="D173" s="17"/>
      <c r="E173" s="16"/>
      <c r="F173" s="16"/>
      <c r="G173" s="16"/>
      <c r="H173" s="17"/>
      <c r="I173" s="16"/>
      <c r="J173" s="16"/>
      <c r="K173" s="16"/>
      <c r="L173" s="16"/>
      <c r="M173" s="16"/>
      <c r="N173" s="16"/>
      <c r="O173" s="16"/>
      <c r="P173" s="16"/>
      <c r="Q173" s="16"/>
      <c r="R173" s="17"/>
    </row>
    <row r="174" spans="2:18" x14ac:dyDescent="0.35">
      <c r="B174" s="14" t="s">
        <v>13</v>
      </c>
      <c r="C174" s="16"/>
      <c r="D174" s="16"/>
      <c r="E174" s="16"/>
      <c r="F174" s="17"/>
      <c r="G174" s="16"/>
      <c r="H174" s="17">
        <v>1034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</row>
    <row r="175" spans="2:18" x14ac:dyDescent="0.35">
      <c r="B175" s="14" t="s">
        <v>14</v>
      </c>
      <c r="C175" s="16"/>
      <c r="D175" s="16"/>
      <c r="E175" s="17"/>
      <c r="F175" s="16"/>
      <c r="G175" s="16"/>
      <c r="H175" s="16"/>
      <c r="I175" s="16"/>
      <c r="J175" s="17">
        <v>73782</v>
      </c>
      <c r="K175" s="16"/>
      <c r="L175" s="16"/>
      <c r="M175" s="16"/>
      <c r="N175" s="16"/>
      <c r="O175" s="16"/>
      <c r="P175" s="16"/>
      <c r="Q175" s="16"/>
      <c r="R175" s="16"/>
    </row>
    <row r="176" spans="2:18" x14ac:dyDescent="0.35">
      <c r="B176" s="14" t="s">
        <v>15</v>
      </c>
      <c r="C176" s="16"/>
      <c r="D176" s="16"/>
      <c r="E176" s="16"/>
      <c r="F176" s="16"/>
      <c r="G176" s="17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</row>
    <row r="177" spans="2:18" x14ac:dyDescent="0.35">
      <c r="B177" s="14" t="s">
        <v>42</v>
      </c>
      <c r="C177" s="16"/>
      <c r="D177" s="16"/>
      <c r="E177" s="16"/>
      <c r="F177" s="16"/>
      <c r="G177" s="16"/>
      <c r="H177" s="20"/>
      <c r="I177" s="16"/>
      <c r="J177" s="16"/>
      <c r="K177" s="16"/>
      <c r="L177" s="16"/>
      <c r="M177" s="16"/>
      <c r="N177" s="16"/>
      <c r="O177" s="16"/>
      <c r="P177" s="16"/>
      <c r="Q177" s="16"/>
      <c r="R177" s="16"/>
    </row>
    <row r="178" spans="2:18" x14ac:dyDescent="0.35">
      <c r="B178" s="14" t="s">
        <v>43</v>
      </c>
      <c r="C178" s="17"/>
      <c r="D178" s="16"/>
      <c r="E178" s="16"/>
      <c r="F178" s="16"/>
      <c r="G178" s="17">
        <v>150352</v>
      </c>
      <c r="H178" s="17"/>
      <c r="I178" s="16"/>
      <c r="J178" s="16"/>
      <c r="K178" s="17"/>
      <c r="L178" s="16"/>
      <c r="M178" s="16"/>
      <c r="N178" s="16"/>
      <c r="O178" s="16"/>
      <c r="P178" s="16"/>
      <c r="Q178" s="16"/>
      <c r="R178" s="16"/>
    </row>
    <row r="179" spans="2:18" x14ac:dyDescent="0.35">
      <c r="B179" s="14" t="s">
        <v>44</v>
      </c>
      <c r="C179" s="16"/>
      <c r="D179" s="17"/>
      <c r="E179" s="16"/>
      <c r="F179" s="16"/>
      <c r="G179" s="17"/>
      <c r="H179" s="16"/>
      <c r="I179" s="16"/>
      <c r="J179" s="16"/>
      <c r="K179" s="16"/>
      <c r="L179" s="17"/>
      <c r="M179" s="16"/>
      <c r="N179" s="16"/>
      <c r="O179" s="16"/>
      <c r="P179" s="16"/>
      <c r="Q179" s="16"/>
      <c r="R179" s="16"/>
    </row>
    <row r="180" spans="2:18" x14ac:dyDescent="0.35">
      <c r="B180" s="14" t="s">
        <v>26</v>
      </c>
      <c r="C180" s="16"/>
      <c r="D180" s="16"/>
      <c r="E180" s="14"/>
      <c r="F180" s="16"/>
      <c r="G180" s="16"/>
      <c r="H180" s="16"/>
      <c r="I180" s="16"/>
      <c r="J180" s="14"/>
      <c r="K180" s="17">
        <v>12828</v>
      </c>
      <c r="L180" s="16"/>
      <c r="M180" s="14"/>
      <c r="N180" s="14"/>
      <c r="O180" s="14"/>
      <c r="P180" s="16"/>
      <c r="Q180" s="16"/>
      <c r="R180" s="16"/>
    </row>
    <row r="181" spans="2:18" x14ac:dyDescent="0.35">
      <c r="B181" s="14" t="s">
        <v>27</v>
      </c>
      <c r="C181" s="16"/>
      <c r="D181" s="16"/>
      <c r="E181" s="14"/>
      <c r="F181" s="16"/>
      <c r="G181" s="16"/>
      <c r="H181" s="16"/>
      <c r="I181" s="16"/>
      <c r="J181" s="14"/>
      <c r="K181" s="14"/>
      <c r="L181" s="16"/>
      <c r="M181" s="14"/>
      <c r="N181" s="14"/>
      <c r="O181" s="17">
        <v>597</v>
      </c>
      <c r="P181" s="16"/>
      <c r="Q181" s="16"/>
      <c r="R181" s="16"/>
    </row>
    <row r="182" spans="2:18" x14ac:dyDescent="0.35">
      <c r="B182" s="14" t="s">
        <v>29</v>
      </c>
      <c r="C182" s="16"/>
      <c r="D182" s="16"/>
      <c r="E182" s="17"/>
      <c r="F182" s="16"/>
      <c r="G182" s="16"/>
      <c r="H182" s="16"/>
      <c r="I182" s="17"/>
      <c r="J182" s="17">
        <v>63742</v>
      </c>
      <c r="K182" s="16"/>
      <c r="L182" s="16"/>
      <c r="M182" s="14"/>
      <c r="N182" s="17"/>
      <c r="O182" s="14"/>
      <c r="P182" s="16"/>
      <c r="Q182" s="16"/>
      <c r="R182" s="16"/>
    </row>
    <row r="183" spans="2:18" x14ac:dyDescent="0.35">
      <c r="B183" s="14" t="s">
        <v>32</v>
      </c>
      <c r="C183" s="16"/>
      <c r="D183" s="16"/>
      <c r="E183" s="17">
        <v>73782</v>
      </c>
      <c r="F183" s="16"/>
      <c r="G183" s="16"/>
      <c r="H183" s="16"/>
      <c r="I183" s="17"/>
      <c r="J183" s="14"/>
      <c r="K183" s="14"/>
      <c r="L183" s="16"/>
      <c r="M183" s="16"/>
      <c r="N183" s="14"/>
      <c r="O183" s="14"/>
      <c r="P183" s="16"/>
      <c r="Q183" s="16"/>
      <c r="R183" s="16"/>
    </row>
    <row r="184" spans="2:18" x14ac:dyDescent="0.35">
      <c r="B184" s="14" t="s">
        <v>45</v>
      </c>
      <c r="C184" s="16"/>
      <c r="D184" s="16"/>
      <c r="E184" s="14"/>
      <c r="F184" s="16"/>
      <c r="G184" s="16"/>
      <c r="H184" s="16"/>
      <c r="I184" s="16"/>
      <c r="J184" s="17"/>
      <c r="K184" s="14"/>
      <c r="L184" s="16"/>
      <c r="M184" s="17">
        <v>1034</v>
      </c>
      <c r="N184" s="17"/>
      <c r="O184" s="14"/>
      <c r="P184" s="16"/>
      <c r="Q184" s="16"/>
      <c r="R184" s="16"/>
    </row>
    <row r="186" spans="2:18" x14ac:dyDescent="0.35">
      <c r="B186">
        <v>9</v>
      </c>
      <c r="C186" s="14" t="s">
        <v>5</v>
      </c>
      <c r="D186" s="14" t="s">
        <v>17</v>
      </c>
      <c r="E186" s="14" t="s">
        <v>6</v>
      </c>
      <c r="F186" s="14" t="s">
        <v>19</v>
      </c>
      <c r="G186" s="14" t="s">
        <v>23</v>
      </c>
      <c r="H186" s="14" t="s">
        <v>24</v>
      </c>
      <c r="I186" t="s">
        <v>9</v>
      </c>
      <c r="J186" s="14" t="s">
        <v>10</v>
      </c>
      <c r="K186" s="14" t="s">
        <v>11</v>
      </c>
      <c r="L186" s="14" t="s">
        <v>34</v>
      </c>
      <c r="M186" s="14" t="s">
        <v>13</v>
      </c>
      <c r="N186" s="14" t="s">
        <v>14</v>
      </c>
      <c r="O186" s="14" t="s">
        <v>15</v>
      </c>
      <c r="P186" s="14" t="s">
        <v>42</v>
      </c>
      <c r="Q186" s="14" t="s">
        <v>43</v>
      </c>
      <c r="R186" s="14" t="s">
        <v>44</v>
      </c>
    </row>
    <row r="187" spans="2:18" x14ac:dyDescent="0.35">
      <c r="B187" s="14" t="s">
        <v>5</v>
      </c>
      <c r="C187" s="16"/>
      <c r="D187" s="16"/>
      <c r="E187" s="16"/>
      <c r="F187" s="17"/>
      <c r="G187" s="16"/>
      <c r="H187" s="17">
        <v>32619</v>
      </c>
      <c r="I187" s="16"/>
      <c r="J187" s="17"/>
      <c r="K187" s="17"/>
      <c r="L187" s="16"/>
      <c r="M187" s="16"/>
      <c r="N187" s="16"/>
      <c r="O187" s="16"/>
      <c r="P187" s="16"/>
      <c r="Q187" s="17">
        <v>104905</v>
      </c>
      <c r="R187" s="16"/>
    </row>
    <row r="188" spans="2:18" x14ac:dyDescent="0.35">
      <c r="B188" s="14" t="s">
        <v>17</v>
      </c>
      <c r="C188" s="16"/>
      <c r="D188" s="16"/>
      <c r="E188" s="16"/>
      <c r="F188" s="16"/>
      <c r="G188" s="17"/>
      <c r="H188" s="17"/>
      <c r="I188" s="16"/>
      <c r="J188" s="16"/>
      <c r="K188" s="16"/>
      <c r="L188" s="17"/>
      <c r="M188" s="16"/>
      <c r="N188" s="16"/>
      <c r="O188" s="16"/>
      <c r="P188" s="16"/>
      <c r="Q188" s="16"/>
      <c r="R188" s="17">
        <v>33653</v>
      </c>
    </row>
    <row r="189" spans="2:18" x14ac:dyDescent="0.35">
      <c r="B189" s="14" t="s">
        <v>6</v>
      </c>
      <c r="C189" s="16"/>
      <c r="D189" s="16"/>
      <c r="E189" s="16"/>
      <c r="F189" s="16"/>
      <c r="G189" s="16"/>
      <c r="H189" s="16"/>
      <c r="I189" s="17"/>
      <c r="J189" s="16"/>
      <c r="K189" s="16"/>
      <c r="L189" s="16"/>
      <c r="M189" s="16"/>
      <c r="N189" s="17">
        <v>73782</v>
      </c>
      <c r="O189" s="16"/>
      <c r="P189" s="16"/>
      <c r="Q189" s="16"/>
      <c r="R189" s="16"/>
    </row>
    <row r="190" spans="2:18" x14ac:dyDescent="0.35">
      <c r="B190" s="14" t="s">
        <v>19</v>
      </c>
      <c r="C190" s="17"/>
      <c r="D190" s="16"/>
      <c r="E190" s="16"/>
      <c r="F190" s="16"/>
      <c r="G190" s="16"/>
      <c r="H190" s="17"/>
      <c r="I190" s="16"/>
      <c r="J190" s="16"/>
      <c r="K190" s="16"/>
      <c r="L190" s="16"/>
      <c r="M190" s="17"/>
      <c r="N190" s="16"/>
      <c r="O190" s="16"/>
      <c r="P190" s="16"/>
      <c r="Q190" s="16"/>
      <c r="R190" s="16"/>
    </row>
    <row r="191" spans="2:18" x14ac:dyDescent="0.35">
      <c r="B191" s="14" t="s">
        <v>23</v>
      </c>
      <c r="C191" s="16"/>
      <c r="D191" s="17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7"/>
      <c r="P191" s="16"/>
      <c r="Q191" s="17"/>
      <c r="R191" s="17"/>
    </row>
    <row r="192" spans="2:18" x14ac:dyDescent="0.35">
      <c r="B192" s="14" t="s">
        <v>24</v>
      </c>
      <c r="C192" s="17"/>
      <c r="D192" s="17">
        <v>33653</v>
      </c>
      <c r="E192" s="16"/>
      <c r="F192" s="17"/>
      <c r="G192" s="16"/>
      <c r="H192" s="16"/>
      <c r="I192" s="16"/>
      <c r="J192" s="16"/>
      <c r="K192" s="16"/>
      <c r="L192" s="17"/>
      <c r="M192" s="17"/>
      <c r="N192" s="16"/>
      <c r="O192" s="16"/>
      <c r="P192" s="20"/>
      <c r="Q192" s="17"/>
      <c r="R192" s="16"/>
    </row>
    <row r="193" spans="2:18" x14ac:dyDescent="0.35">
      <c r="B193" s="14" t="s">
        <v>9</v>
      </c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</row>
    <row r="194" spans="2:18" x14ac:dyDescent="0.35">
      <c r="B194" s="14" t="s">
        <v>10</v>
      </c>
      <c r="C194" s="17">
        <v>137524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7"/>
      <c r="O194" s="16"/>
      <c r="P194" s="16"/>
      <c r="Q194" s="16"/>
      <c r="R194" s="16"/>
    </row>
    <row r="195" spans="2:18" x14ac:dyDescent="0.35">
      <c r="B195" s="14" t="s">
        <v>11</v>
      </c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7">
        <v>12828</v>
      </c>
      <c r="R195" s="16"/>
    </row>
    <row r="196" spans="2:18" x14ac:dyDescent="0.35">
      <c r="B196" s="14" t="s">
        <v>34</v>
      </c>
      <c r="C196" s="16"/>
      <c r="D196" s="17"/>
      <c r="E196" s="16"/>
      <c r="F196" s="16"/>
      <c r="G196" s="16"/>
      <c r="H196" s="17"/>
      <c r="I196" s="16"/>
      <c r="J196" s="16"/>
      <c r="K196" s="16"/>
      <c r="L196" s="16"/>
      <c r="M196" s="16"/>
      <c r="N196" s="16"/>
      <c r="O196" s="16"/>
      <c r="P196" s="16"/>
      <c r="Q196" s="16"/>
      <c r="R196" s="17"/>
    </row>
    <row r="197" spans="2:18" x14ac:dyDescent="0.35">
      <c r="B197" s="14" t="s">
        <v>13</v>
      </c>
      <c r="C197" s="16"/>
      <c r="D197" s="16"/>
      <c r="E197" s="16"/>
      <c r="F197" s="17"/>
      <c r="G197" s="16"/>
      <c r="H197" s="17">
        <v>1034</v>
      </c>
      <c r="I197" s="16"/>
      <c r="J197" s="16"/>
      <c r="K197" s="16"/>
      <c r="L197" s="16"/>
      <c r="M197" s="16"/>
      <c r="N197" s="16"/>
      <c r="O197" s="16"/>
      <c r="P197" s="16"/>
      <c r="Q197" s="16"/>
      <c r="R197" s="16"/>
    </row>
    <row r="198" spans="2:18" x14ac:dyDescent="0.35">
      <c r="B198" s="14" t="s">
        <v>14</v>
      </c>
      <c r="C198" s="16"/>
      <c r="D198" s="16"/>
      <c r="E198" s="17"/>
      <c r="F198" s="16"/>
      <c r="G198" s="16"/>
      <c r="H198" s="16"/>
      <c r="I198" s="16"/>
      <c r="J198" s="17">
        <v>73782</v>
      </c>
      <c r="K198" s="16"/>
      <c r="L198" s="16"/>
      <c r="M198" s="16"/>
      <c r="N198" s="16"/>
      <c r="O198" s="16"/>
      <c r="P198" s="16"/>
      <c r="Q198" s="16"/>
      <c r="R198" s="16"/>
    </row>
    <row r="199" spans="2:18" x14ac:dyDescent="0.35">
      <c r="B199" s="14" t="s">
        <v>15</v>
      </c>
      <c r="C199" s="16"/>
      <c r="D199" s="16"/>
      <c r="E199" s="16"/>
      <c r="F199" s="16"/>
      <c r="G199" s="17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</row>
    <row r="200" spans="2:18" x14ac:dyDescent="0.35">
      <c r="B200" s="14" t="s">
        <v>42</v>
      </c>
      <c r="C200" s="16"/>
      <c r="D200" s="16"/>
      <c r="E200" s="16"/>
      <c r="F200" s="16"/>
      <c r="G200" s="16"/>
      <c r="H200" s="20"/>
      <c r="I200" s="16"/>
      <c r="J200" s="16"/>
      <c r="K200" s="16"/>
      <c r="L200" s="16"/>
      <c r="M200" s="16"/>
      <c r="N200" s="16"/>
      <c r="O200" s="16"/>
      <c r="P200" s="16"/>
      <c r="Q200" s="16"/>
      <c r="R200" s="16"/>
    </row>
    <row r="201" spans="2:18" x14ac:dyDescent="0.35">
      <c r="B201" s="14" t="s">
        <v>43</v>
      </c>
      <c r="C201" s="17"/>
      <c r="D201" s="16"/>
      <c r="E201" s="16"/>
      <c r="F201" s="16"/>
      <c r="G201" s="17">
        <v>117733</v>
      </c>
      <c r="H201" s="17"/>
      <c r="I201" s="16"/>
      <c r="J201" s="16"/>
      <c r="K201" s="17"/>
      <c r="L201" s="16"/>
      <c r="M201" s="16"/>
      <c r="N201" s="16"/>
      <c r="O201" s="16"/>
      <c r="P201" s="16"/>
      <c r="Q201" s="16"/>
      <c r="R201" s="16"/>
    </row>
    <row r="202" spans="2:18" x14ac:dyDescent="0.35">
      <c r="B202" s="14" t="s">
        <v>44</v>
      </c>
      <c r="C202" s="16"/>
      <c r="D202" s="17"/>
      <c r="E202" s="16"/>
      <c r="F202" s="16"/>
      <c r="G202" s="17"/>
      <c r="H202" s="16"/>
      <c r="I202" s="16"/>
      <c r="J202" s="16"/>
      <c r="K202" s="16"/>
      <c r="L202" s="17"/>
      <c r="M202" s="16"/>
      <c r="N202" s="16"/>
      <c r="O202" s="16"/>
      <c r="P202" s="16"/>
      <c r="Q202" s="16"/>
      <c r="R202" s="16"/>
    </row>
    <row r="203" spans="2:18" x14ac:dyDescent="0.35">
      <c r="B203" s="14" t="s">
        <v>26</v>
      </c>
      <c r="C203" s="16"/>
      <c r="D203" s="16"/>
      <c r="E203" s="14"/>
      <c r="F203" s="16"/>
      <c r="G203" s="16"/>
      <c r="H203" s="16"/>
      <c r="I203" s="16"/>
      <c r="J203" s="14"/>
      <c r="K203" s="17">
        <v>12828</v>
      </c>
      <c r="L203" s="16"/>
      <c r="M203" s="14"/>
      <c r="N203" s="14"/>
      <c r="O203" s="14"/>
      <c r="P203" s="16"/>
      <c r="Q203" s="16"/>
      <c r="R203" s="16"/>
    </row>
    <row r="204" spans="2:18" x14ac:dyDescent="0.35">
      <c r="B204" s="14" t="s">
        <v>27</v>
      </c>
      <c r="C204" s="16"/>
      <c r="D204" s="16"/>
      <c r="E204" s="14"/>
      <c r="F204" s="16"/>
      <c r="G204" s="16"/>
      <c r="H204" s="16"/>
      <c r="I204" s="16"/>
      <c r="J204" s="14"/>
      <c r="K204" s="14"/>
      <c r="L204" s="16"/>
      <c r="M204" s="14"/>
      <c r="N204" s="14"/>
      <c r="O204" s="17">
        <v>597</v>
      </c>
      <c r="P204" s="16"/>
      <c r="Q204" s="16"/>
      <c r="R204" s="16"/>
    </row>
    <row r="205" spans="2:18" x14ac:dyDescent="0.35">
      <c r="B205" s="14" t="s">
        <v>29</v>
      </c>
      <c r="C205" s="16"/>
      <c r="D205" s="16"/>
      <c r="E205" s="17"/>
      <c r="F205" s="16"/>
      <c r="G205" s="16"/>
      <c r="H205" s="16"/>
      <c r="I205" s="17"/>
      <c r="J205" s="17">
        <v>63742</v>
      </c>
      <c r="K205" s="16"/>
      <c r="L205" s="16"/>
      <c r="M205" s="14"/>
      <c r="N205" s="17"/>
      <c r="O205" s="14"/>
      <c r="P205" s="16"/>
      <c r="Q205" s="16"/>
      <c r="R205" s="16"/>
    </row>
    <row r="206" spans="2:18" x14ac:dyDescent="0.35">
      <c r="B206" s="14" t="s">
        <v>32</v>
      </c>
      <c r="C206" s="16"/>
      <c r="D206" s="16"/>
      <c r="E206" s="17">
        <v>73782</v>
      </c>
      <c r="F206" s="16"/>
      <c r="G206" s="16"/>
      <c r="H206" s="16"/>
      <c r="I206" s="17"/>
      <c r="J206" s="14"/>
      <c r="K206" s="14"/>
      <c r="L206" s="16"/>
      <c r="M206" s="16"/>
      <c r="N206" s="14"/>
      <c r="O206" s="14"/>
      <c r="P206" s="16"/>
      <c r="Q206" s="16"/>
      <c r="R206" s="16"/>
    </row>
    <row r="207" spans="2:18" x14ac:dyDescent="0.35">
      <c r="B207" s="14" t="s">
        <v>45</v>
      </c>
      <c r="C207" s="16"/>
      <c r="D207" s="16"/>
      <c r="E207" s="14"/>
      <c r="F207" s="16"/>
      <c r="G207" s="16"/>
      <c r="H207" s="16"/>
      <c r="I207" s="16"/>
      <c r="J207" s="17"/>
      <c r="K207" s="14"/>
      <c r="L207" s="16"/>
      <c r="M207" s="17">
        <v>1034</v>
      </c>
      <c r="N207" s="17"/>
      <c r="O207" s="14"/>
      <c r="P207" s="16"/>
      <c r="Q207" s="16"/>
      <c r="R207" s="16"/>
    </row>
    <row r="209" spans="2:18" x14ac:dyDescent="0.35">
      <c r="B209">
        <v>10</v>
      </c>
      <c r="C209" s="14" t="s">
        <v>5</v>
      </c>
      <c r="D209" s="14" t="s">
        <v>17</v>
      </c>
      <c r="E209" s="14" t="s">
        <v>6</v>
      </c>
      <c r="F209" s="14" t="s">
        <v>19</v>
      </c>
      <c r="G209" s="14" t="s">
        <v>23</v>
      </c>
      <c r="H209" s="14" t="s">
        <v>24</v>
      </c>
      <c r="I209" t="s">
        <v>9</v>
      </c>
      <c r="J209" s="14" t="s">
        <v>10</v>
      </c>
      <c r="K209" s="14" t="s">
        <v>11</v>
      </c>
      <c r="L209" s="14" t="s">
        <v>34</v>
      </c>
      <c r="M209" s="14" t="s">
        <v>13</v>
      </c>
      <c r="N209" s="14" t="s">
        <v>14</v>
      </c>
      <c r="O209" s="14" t="s">
        <v>15</v>
      </c>
      <c r="P209" s="14" t="s">
        <v>42</v>
      </c>
      <c r="Q209" s="14" t="s">
        <v>43</v>
      </c>
      <c r="R209" s="14" t="s">
        <v>44</v>
      </c>
    </row>
    <row r="210" spans="2:18" x14ac:dyDescent="0.35">
      <c r="B210" s="14" t="s">
        <v>5</v>
      </c>
      <c r="C210" s="16"/>
      <c r="D210" s="16"/>
      <c r="E210" s="16"/>
      <c r="F210" s="17"/>
      <c r="G210" s="16"/>
      <c r="H210" s="17">
        <v>137524</v>
      </c>
      <c r="I210" s="16"/>
      <c r="J210" s="17"/>
      <c r="K210" s="17"/>
      <c r="L210" s="16"/>
      <c r="M210" s="16"/>
      <c r="N210" s="16"/>
      <c r="O210" s="16"/>
      <c r="P210" s="16"/>
      <c r="Q210" s="17"/>
      <c r="R210" s="16"/>
    </row>
    <row r="211" spans="2:18" x14ac:dyDescent="0.35">
      <c r="B211" s="14" t="s">
        <v>17</v>
      </c>
      <c r="C211" s="16"/>
      <c r="D211" s="16"/>
      <c r="E211" s="16"/>
      <c r="F211" s="16"/>
      <c r="G211" s="17"/>
      <c r="H211" s="17"/>
      <c r="I211" s="16"/>
      <c r="J211" s="16"/>
      <c r="K211" s="16"/>
      <c r="L211" s="17"/>
      <c r="M211" s="16"/>
      <c r="N211" s="16"/>
      <c r="O211" s="16"/>
      <c r="P211" s="16"/>
      <c r="Q211" s="16"/>
      <c r="R211" s="17">
        <v>138558</v>
      </c>
    </row>
    <row r="212" spans="2:18" x14ac:dyDescent="0.35">
      <c r="B212" s="14" t="s">
        <v>6</v>
      </c>
      <c r="C212" s="16"/>
      <c r="D212" s="16"/>
      <c r="E212" s="16"/>
      <c r="F212" s="16"/>
      <c r="G212" s="16"/>
      <c r="H212" s="16"/>
      <c r="I212" s="17"/>
      <c r="J212" s="16"/>
      <c r="K212" s="16"/>
      <c r="L212" s="16"/>
      <c r="M212" s="16"/>
      <c r="N212" s="17">
        <v>73782</v>
      </c>
      <c r="O212" s="16"/>
      <c r="P212" s="16"/>
      <c r="Q212" s="16"/>
      <c r="R212" s="16"/>
    </row>
    <row r="213" spans="2:18" x14ac:dyDescent="0.35">
      <c r="B213" s="14" t="s">
        <v>19</v>
      </c>
      <c r="C213" s="17"/>
      <c r="D213" s="16"/>
      <c r="E213" s="16"/>
      <c r="F213" s="16"/>
      <c r="G213" s="16"/>
      <c r="H213" s="17"/>
      <c r="I213" s="16"/>
      <c r="J213" s="16"/>
      <c r="K213" s="16"/>
      <c r="L213" s="16"/>
      <c r="M213" s="17"/>
      <c r="N213" s="16"/>
      <c r="O213" s="16"/>
      <c r="P213" s="16"/>
      <c r="Q213" s="16"/>
      <c r="R213" s="16"/>
    </row>
    <row r="214" spans="2:18" x14ac:dyDescent="0.35">
      <c r="B214" s="14" t="s">
        <v>23</v>
      </c>
      <c r="C214" s="16"/>
      <c r="D214" s="17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7"/>
      <c r="P214" s="16"/>
      <c r="Q214" s="17"/>
      <c r="R214" s="17">
        <v>12828</v>
      </c>
    </row>
    <row r="215" spans="2:18" x14ac:dyDescent="0.35">
      <c r="B215" s="14" t="s">
        <v>24</v>
      </c>
      <c r="C215" s="17"/>
      <c r="D215" s="17">
        <v>138558</v>
      </c>
      <c r="E215" s="16"/>
      <c r="F215" s="17"/>
      <c r="G215" s="16"/>
      <c r="H215" s="16"/>
      <c r="I215" s="16"/>
      <c r="J215" s="16"/>
      <c r="K215" s="16"/>
      <c r="L215" s="17"/>
      <c r="M215" s="17"/>
      <c r="N215" s="16"/>
      <c r="O215" s="16"/>
      <c r="P215" s="20"/>
      <c r="Q215" s="17"/>
      <c r="R215" s="16"/>
    </row>
    <row r="216" spans="2:18" x14ac:dyDescent="0.35">
      <c r="B216" s="14" t="s">
        <v>9</v>
      </c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</row>
    <row r="217" spans="2:18" x14ac:dyDescent="0.35">
      <c r="B217" s="14" t="s">
        <v>10</v>
      </c>
      <c r="C217" s="17">
        <v>137524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7"/>
      <c r="O217" s="16"/>
      <c r="P217" s="16"/>
      <c r="Q217" s="16"/>
      <c r="R217" s="16"/>
    </row>
    <row r="218" spans="2:18" x14ac:dyDescent="0.35">
      <c r="B218" s="14" t="s">
        <v>11</v>
      </c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7">
        <v>12828</v>
      </c>
      <c r="R218" s="16"/>
    </row>
    <row r="219" spans="2:18" x14ac:dyDescent="0.35">
      <c r="B219" s="14" t="s">
        <v>34</v>
      </c>
      <c r="C219" s="16"/>
      <c r="D219" s="17"/>
      <c r="E219" s="16"/>
      <c r="F219" s="16"/>
      <c r="G219" s="16"/>
      <c r="H219" s="17"/>
      <c r="I219" s="16"/>
      <c r="J219" s="16"/>
      <c r="K219" s="16"/>
      <c r="L219" s="16"/>
      <c r="M219" s="16"/>
      <c r="N219" s="16"/>
      <c r="O219" s="16"/>
      <c r="P219" s="16"/>
      <c r="Q219" s="16"/>
      <c r="R219" s="17"/>
    </row>
    <row r="220" spans="2:18" x14ac:dyDescent="0.35">
      <c r="B220" s="14" t="s">
        <v>13</v>
      </c>
      <c r="C220" s="16"/>
      <c r="D220" s="16"/>
      <c r="E220" s="16"/>
      <c r="F220" s="17"/>
      <c r="G220" s="16"/>
      <c r="H220" s="17">
        <v>1034</v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</row>
    <row r="221" spans="2:18" x14ac:dyDescent="0.35">
      <c r="B221" s="14" t="s">
        <v>14</v>
      </c>
      <c r="C221" s="16"/>
      <c r="D221" s="16"/>
      <c r="E221" s="17"/>
      <c r="F221" s="16"/>
      <c r="G221" s="16"/>
      <c r="H221" s="16"/>
      <c r="I221" s="16"/>
      <c r="J221" s="17">
        <v>73782</v>
      </c>
      <c r="K221" s="16"/>
      <c r="L221" s="16"/>
      <c r="M221" s="16"/>
      <c r="N221" s="16"/>
      <c r="O221" s="16"/>
      <c r="P221" s="16"/>
      <c r="Q221" s="16"/>
      <c r="R221" s="16"/>
    </row>
    <row r="222" spans="2:18" x14ac:dyDescent="0.35">
      <c r="B222" s="14" t="s">
        <v>15</v>
      </c>
      <c r="C222" s="16"/>
      <c r="D222" s="16"/>
      <c r="E222" s="16"/>
      <c r="F222" s="16"/>
      <c r="G222" s="17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</row>
    <row r="223" spans="2:18" x14ac:dyDescent="0.35">
      <c r="B223" s="14" t="s">
        <v>42</v>
      </c>
      <c r="C223" s="16"/>
      <c r="D223" s="16"/>
      <c r="E223" s="16"/>
      <c r="F223" s="16"/>
      <c r="G223" s="16"/>
      <c r="H223" s="20"/>
      <c r="I223" s="16"/>
      <c r="J223" s="16"/>
      <c r="K223" s="16"/>
      <c r="L223" s="16"/>
      <c r="M223" s="16"/>
      <c r="N223" s="16"/>
      <c r="O223" s="16"/>
      <c r="P223" s="16"/>
      <c r="Q223" s="16"/>
      <c r="R223" s="16"/>
    </row>
    <row r="224" spans="2:18" x14ac:dyDescent="0.35">
      <c r="B224" s="14" t="s">
        <v>43</v>
      </c>
      <c r="C224" s="17"/>
      <c r="D224" s="16"/>
      <c r="E224" s="16"/>
      <c r="F224" s="16"/>
      <c r="G224" s="17">
        <v>12828</v>
      </c>
      <c r="H224" s="17"/>
      <c r="I224" s="16"/>
      <c r="J224" s="16"/>
      <c r="K224" s="17"/>
      <c r="L224" s="16"/>
      <c r="M224" s="16"/>
      <c r="N224" s="16"/>
      <c r="O224" s="16"/>
      <c r="P224" s="16"/>
      <c r="Q224" s="16"/>
      <c r="R224" s="16"/>
    </row>
    <row r="225" spans="2:18" x14ac:dyDescent="0.35">
      <c r="B225" s="14" t="s">
        <v>44</v>
      </c>
      <c r="C225" s="16"/>
      <c r="D225" s="17"/>
      <c r="E225" s="16"/>
      <c r="F225" s="16"/>
      <c r="G225" s="17"/>
      <c r="H225" s="16"/>
      <c r="I225" s="16"/>
      <c r="J225" s="16"/>
      <c r="K225" s="16"/>
      <c r="L225" s="17"/>
      <c r="M225" s="16"/>
      <c r="N225" s="16"/>
      <c r="O225" s="16"/>
      <c r="P225" s="16"/>
      <c r="Q225" s="16"/>
      <c r="R225" s="16"/>
    </row>
    <row r="226" spans="2:18" x14ac:dyDescent="0.35">
      <c r="B226" s="14" t="s">
        <v>26</v>
      </c>
      <c r="C226" s="16"/>
      <c r="D226" s="16"/>
      <c r="E226" s="14"/>
      <c r="F226" s="16"/>
      <c r="G226" s="16"/>
      <c r="H226" s="16"/>
      <c r="I226" s="16"/>
      <c r="J226" s="14"/>
      <c r="K226" s="17">
        <v>12828</v>
      </c>
      <c r="L226" s="16"/>
      <c r="M226" s="14"/>
      <c r="N226" s="14"/>
      <c r="O226" s="14"/>
      <c r="P226" s="16"/>
      <c r="Q226" s="16"/>
      <c r="R226" s="16"/>
    </row>
    <row r="227" spans="2:18" x14ac:dyDescent="0.35">
      <c r="B227" s="14" t="s">
        <v>27</v>
      </c>
      <c r="C227" s="16"/>
      <c r="D227" s="16"/>
      <c r="E227" s="14"/>
      <c r="F227" s="16"/>
      <c r="G227" s="16"/>
      <c r="H227" s="16"/>
      <c r="I227" s="16"/>
      <c r="J227" s="14"/>
      <c r="K227" s="14"/>
      <c r="L227" s="16"/>
      <c r="M227" s="14"/>
      <c r="N227" s="14"/>
      <c r="O227" s="17">
        <v>597</v>
      </c>
      <c r="P227" s="16"/>
      <c r="Q227" s="16"/>
      <c r="R227" s="16"/>
    </row>
    <row r="228" spans="2:18" x14ac:dyDescent="0.35">
      <c r="B228" s="14" t="s">
        <v>29</v>
      </c>
      <c r="C228" s="16"/>
      <c r="D228" s="16"/>
      <c r="E228" s="17"/>
      <c r="F228" s="16"/>
      <c r="G228" s="16"/>
      <c r="H228" s="16"/>
      <c r="I228" s="17"/>
      <c r="J228" s="17">
        <v>63742</v>
      </c>
      <c r="K228" s="16"/>
      <c r="L228" s="16"/>
      <c r="M228" s="14"/>
      <c r="N228" s="17"/>
      <c r="O228" s="14"/>
      <c r="P228" s="16"/>
      <c r="Q228" s="16"/>
      <c r="R228" s="16"/>
    </row>
    <row r="229" spans="2:18" x14ac:dyDescent="0.35">
      <c r="B229" s="14" t="s">
        <v>32</v>
      </c>
      <c r="C229" s="16"/>
      <c r="D229" s="16"/>
      <c r="E229" s="17">
        <v>73782</v>
      </c>
      <c r="F229" s="16"/>
      <c r="G229" s="16"/>
      <c r="H229" s="16"/>
      <c r="I229" s="17"/>
      <c r="J229" s="14"/>
      <c r="K229" s="14"/>
      <c r="L229" s="16"/>
      <c r="M229" s="16"/>
      <c r="N229" s="14"/>
      <c r="O229" s="14"/>
      <c r="P229" s="16"/>
      <c r="Q229" s="16"/>
      <c r="R229" s="16"/>
    </row>
    <row r="230" spans="2:18" x14ac:dyDescent="0.35">
      <c r="B230" s="14" t="s">
        <v>45</v>
      </c>
      <c r="C230" s="16"/>
      <c r="D230" s="16"/>
      <c r="E230" s="14"/>
      <c r="F230" s="16"/>
      <c r="G230" s="16"/>
      <c r="H230" s="16"/>
      <c r="I230" s="16"/>
      <c r="J230" s="17"/>
      <c r="K230" s="14"/>
      <c r="L230" s="16"/>
      <c r="M230" s="17">
        <v>1034</v>
      </c>
      <c r="N230" s="17"/>
      <c r="O230" s="14"/>
      <c r="P230" s="16"/>
      <c r="Q230" s="16"/>
      <c r="R230" s="16"/>
    </row>
    <row r="232" spans="2:18" x14ac:dyDescent="0.35">
      <c r="B232">
        <v>11</v>
      </c>
      <c r="C232" s="14" t="s">
        <v>5</v>
      </c>
      <c r="D232" s="14" t="s">
        <v>17</v>
      </c>
      <c r="E232" s="14" t="s">
        <v>6</v>
      </c>
      <c r="F232" s="14" t="s">
        <v>19</v>
      </c>
      <c r="G232" s="14" t="s">
        <v>23</v>
      </c>
      <c r="H232" s="14" t="s">
        <v>24</v>
      </c>
      <c r="I232" t="s">
        <v>9</v>
      </c>
      <c r="J232" s="14" t="s">
        <v>10</v>
      </c>
      <c r="K232" s="14" t="s">
        <v>11</v>
      </c>
      <c r="L232" s="14" t="s">
        <v>34</v>
      </c>
      <c r="M232" s="14" t="s">
        <v>13</v>
      </c>
      <c r="N232" s="14" t="s">
        <v>14</v>
      </c>
      <c r="O232" s="14" t="s">
        <v>15</v>
      </c>
      <c r="P232" s="14" t="s">
        <v>42</v>
      </c>
      <c r="Q232" s="14" t="s">
        <v>43</v>
      </c>
      <c r="R232" s="14" t="s">
        <v>44</v>
      </c>
    </row>
    <row r="233" spans="2:18" x14ac:dyDescent="0.35">
      <c r="B233" s="14" t="s">
        <v>5</v>
      </c>
      <c r="C233" s="16"/>
      <c r="D233" s="16"/>
      <c r="E233" s="16"/>
      <c r="F233" s="17"/>
      <c r="G233" s="16"/>
      <c r="H233" s="17">
        <v>137524</v>
      </c>
      <c r="I233" s="16"/>
      <c r="J233" s="17"/>
      <c r="K233" s="17"/>
      <c r="L233" s="16"/>
      <c r="M233" s="16"/>
      <c r="N233" s="16"/>
      <c r="O233" s="16"/>
      <c r="P233" s="16"/>
      <c r="Q233" s="17"/>
      <c r="R233" s="16"/>
    </row>
    <row r="234" spans="2:18" x14ac:dyDescent="0.35">
      <c r="B234" s="14" t="s">
        <v>17</v>
      </c>
      <c r="C234" s="16"/>
      <c r="D234" s="16"/>
      <c r="E234" s="16"/>
      <c r="F234" s="16"/>
      <c r="G234" s="17"/>
      <c r="H234" s="17"/>
      <c r="I234" s="16"/>
      <c r="J234" s="16"/>
      <c r="K234" s="16"/>
      <c r="L234" s="17"/>
      <c r="M234" s="16"/>
      <c r="N234" s="16"/>
      <c r="O234" s="16"/>
      <c r="P234" s="16"/>
      <c r="Q234" s="16"/>
      <c r="R234" s="17">
        <v>92194</v>
      </c>
    </row>
    <row r="235" spans="2:18" x14ac:dyDescent="0.35">
      <c r="B235" s="14" t="s">
        <v>6</v>
      </c>
      <c r="C235" s="16"/>
      <c r="D235" s="16"/>
      <c r="E235" s="16"/>
      <c r="F235" s="16"/>
      <c r="G235" s="16"/>
      <c r="H235" s="16"/>
      <c r="I235" s="17"/>
      <c r="J235" s="16"/>
      <c r="K235" s="16"/>
      <c r="L235" s="16"/>
      <c r="M235" s="16"/>
      <c r="N235" s="17">
        <v>73782</v>
      </c>
      <c r="O235" s="16"/>
      <c r="P235" s="16"/>
      <c r="Q235" s="16"/>
      <c r="R235" s="16"/>
    </row>
    <row r="236" spans="2:18" x14ac:dyDescent="0.35">
      <c r="B236" s="14" t="s">
        <v>19</v>
      </c>
      <c r="C236" s="17"/>
      <c r="D236" s="16"/>
      <c r="E236" s="16"/>
      <c r="F236" s="16"/>
      <c r="G236" s="16"/>
      <c r="H236" s="17"/>
      <c r="I236" s="16"/>
      <c r="J236" s="16"/>
      <c r="K236" s="16"/>
      <c r="L236" s="16"/>
      <c r="M236" s="17"/>
      <c r="N236" s="16"/>
      <c r="O236" s="16"/>
      <c r="P236" s="16"/>
      <c r="Q236" s="16"/>
      <c r="R236" s="16"/>
    </row>
    <row r="237" spans="2:18" x14ac:dyDescent="0.35">
      <c r="B237" s="14" t="s">
        <v>23</v>
      </c>
      <c r="C237" s="16"/>
      <c r="D237" s="17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7">
        <v>12828</v>
      </c>
      <c r="P237" s="16"/>
      <c r="Q237" s="17"/>
      <c r="R237" s="17"/>
    </row>
    <row r="238" spans="2:18" x14ac:dyDescent="0.35">
      <c r="B238" s="14" t="s">
        <v>24</v>
      </c>
      <c r="C238" s="17"/>
      <c r="D238" s="17">
        <v>92194</v>
      </c>
      <c r="E238" s="16"/>
      <c r="F238" s="17"/>
      <c r="G238" s="16"/>
      <c r="H238" s="16"/>
      <c r="I238" s="16"/>
      <c r="J238" s="16"/>
      <c r="K238" s="16"/>
      <c r="L238" s="17"/>
      <c r="M238" s="17"/>
      <c r="N238" s="16"/>
      <c r="O238" s="16"/>
      <c r="P238" s="20">
        <v>46364</v>
      </c>
      <c r="Q238" s="17"/>
      <c r="R238" s="16"/>
    </row>
    <row r="239" spans="2:18" x14ac:dyDescent="0.35">
      <c r="B239" s="14" t="s">
        <v>9</v>
      </c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</row>
    <row r="240" spans="2:18" x14ac:dyDescent="0.35">
      <c r="B240" s="14" t="s">
        <v>10</v>
      </c>
      <c r="C240" s="17">
        <v>137524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7"/>
      <c r="O240" s="16"/>
      <c r="P240" s="16"/>
      <c r="Q240" s="16"/>
      <c r="R240" s="16"/>
    </row>
    <row r="241" spans="2:18" x14ac:dyDescent="0.35">
      <c r="B241" s="14" t="s">
        <v>11</v>
      </c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7">
        <v>12828</v>
      </c>
      <c r="R241" s="16"/>
    </row>
    <row r="242" spans="2:18" x14ac:dyDescent="0.35">
      <c r="B242" s="14" t="s">
        <v>34</v>
      </c>
      <c r="C242" s="16"/>
      <c r="D242" s="17"/>
      <c r="E242" s="16"/>
      <c r="F242" s="16"/>
      <c r="G242" s="16"/>
      <c r="H242" s="17"/>
      <c r="I242" s="16"/>
      <c r="J242" s="16"/>
      <c r="K242" s="16"/>
      <c r="L242" s="16"/>
      <c r="M242" s="16"/>
      <c r="N242" s="16"/>
      <c r="O242" s="16"/>
      <c r="P242" s="16"/>
      <c r="Q242" s="16"/>
      <c r="R242" s="17"/>
    </row>
    <row r="243" spans="2:18" x14ac:dyDescent="0.35">
      <c r="B243" s="14" t="s">
        <v>13</v>
      </c>
      <c r="C243" s="16"/>
      <c r="D243" s="16"/>
      <c r="E243" s="16"/>
      <c r="F243" s="17"/>
      <c r="G243" s="16"/>
      <c r="H243" s="17">
        <v>1034</v>
      </c>
      <c r="I243" s="16"/>
      <c r="J243" s="16"/>
      <c r="K243" s="16"/>
      <c r="L243" s="16"/>
      <c r="M243" s="16"/>
      <c r="N243" s="16"/>
      <c r="O243" s="16"/>
      <c r="P243" s="16"/>
      <c r="Q243" s="16"/>
      <c r="R243" s="16"/>
    </row>
    <row r="244" spans="2:18" x14ac:dyDescent="0.35">
      <c r="B244" s="14" t="s">
        <v>14</v>
      </c>
      <c r="C244" s="16"/>
      <c r="D244" s="16"/>
      <c r="E244" s="17"/>
      <c r="F244" s="16"/>
      <c r="G244" s="16"/>
      <c r="H244" s="16"/>
      <c r="I244" s="16"/>
      <c r="J244" s="17">
        <v>73782</v>
      </c>
      <c r="K244" s="16"/>
      <c r="L244" s="16"/>
      <c r="M244" s="16"/>
      <c r="N244" s="16"/>
      <c r="O244" s="16"/>
      <c r="P244" s="16"/>
      <c r="Q244" s="16"/>
      <c r="R244" s="16"/>
    </row>
    <row r="245" spans="2:18" x14ac:dyDescent="0.35">
      <c r="B245" s="14" t="s">
        <v>15</v>
      </c>
      <c r="C245" s="16"/>
      <c r="D245" s="16"/>
      <c r="E245" s="16"/>
      <c r="F245" s="16"/>
      <c r="G245" s="17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</row>
    <row r="246" spans="2:18" x14ac:dyDescent="0.35">
      <c r="B246" s="14" t="s">
        <v>42</v>
      </c>
      <c r="C246" s="16"/>
      <c r="D246" s="16"/>
      <c r="E246" s="16"/>
      <c r="F246" s="16"/>
      <c r="G246" s="16"/>
      <c r="H246" s="20"/>
      <c r="I246" s="16"/>
      <c r="J246" s="16"/>
      <c r="K246" s="16"/>
      <c r="L246" s="16"/>
      <c r="M246" s="16"/>
      <c r="N246" s="16"/>
      <c r="O246" s="16"/>
      <c r="P246" s="16"/>
      <c r="Q246" s="16"/>
      <c r="R246" s="16"/>
    </row>
    <row r="247" spans="2:18" x14ac:dyDescent="0.35">
      <c r="B247" s="14" t="s">
        <v>43</v>
      </c>
      <c r="C247" s="17"/>
      <c r="D247" s="16"/>
      <c r="E247" s="16"/>
      <c r="F247" s="16"/>
      <c r="G247" s="17">
        <v>12828</v>
      </c>
      <c r="H247" s="17"/>
      <c r="I247" s="16"/>
      <c r="J247" s="16"/>
      <c r="K247" s="17"/>
      <c r="L247" s="16"/>
      <c r="M247" s="16"/>
      <c r="N247" s="16"/>
      <c r="O247" s="16"/>
      <c r="P247" s="16"/>
      <c r="Q247" s="16"/>
      <c r="R247" s="16"/>
    </row>
    <row r="248" spans="2:18" x14ac:dyDescent="0.35">
      <c r="B248" s="14" t="s">
        <v>44</v>
      </c>
      <c r="C248" s="16"/>
      <c r="D248" s="17"/>
      <c r="E248" s="16"/>
      <c r="F248" s="16"/>
      <c r="G248" s="17"/>
      <c r="H248" s="16"/>
      <c r="I248" s="16"/>
      <c r="J248" s="16"/>
      <c r="K248" s="16"/>
      <c r="L248" s="17"/>
      <c r="M248" s="16"/>
      <c r="N248" s="16"/>
      <c r="O248" s="16"/>
      <c r="P248" s="16"/>
      <c r="Q248" s="16"/>
      <c r="R248" s="16"/>
    </row>
    <row r="249" spans="2:18" x14ac:dyDescent="0.35">
      <c r="B249" s="14" t="s">
        <v>26</v>
      </c>
      <c r="C249" s="16"/>
      <c r="D249" s="16"/>
      <c r="E249" s="14"/>
      <c r="F249" s="16"/>
      <c r="G249" s="16"/>
      <c r="H249" s="16"/>
      <c r="I249" s="16"/>
      <c r="J249" s="14"/>
      <c r="K249" s="17">
        <v>12828</v>
      </c>
      <c r="L249" s="16"/>
      <c r="M249" s="14"/>
      <c r="N249" s="14"/>
      <c r="O249" s="14"/>
      <c r="P249" s="16"/>
      <c r="Q249" s="16"/>
      <c r="R249" s="16"/>
    </row>
    <row r="250" spans="2:18" x14ac:dyDescent="0.35">
      <c r="B250" s="14" t="s">
        <v>27</v>
      </c>
      <c r="C250" s="16"/>
      <c r="D250" s="16"/>
      <c r="E250" s="14"/>
      <c r="F250" s="16"/>
      <c r="G250" s="16"/>
      <c r="H250" s="16"/>
      <c r="I250" s="16"/>
      <c r="J250" s="14"/>
      <c r="K250" s="14"/>
      <c r="L250" s="16"/>
      <c r="M250" s="14"/>
      <c r="N250" s="14"/>
      <c r="O250" s="17">
        <v>597</v>
      </c>
      <c r="P250" s="16"/>
      <c r="Q250" s="16"/>
      <c r="R250" s="16"/>
    </row>
    <row r="251" spans="2:18" x14ac:dyDescent="0.35">
      <c r="B251" s="14" t="s">
        <v>29</v>
      </c>
      <c r="C251" s="16"/>
      <c r="D251" s="16"/>
      <c r="E251" s="17"/>
      <c r="F251" s="16"/>
      <c r="G251" s="16"/>
      <c r="H251" s="16"/>
      <c r="I251" s="17"/>
      <c r="J251" s="17">
        <v>63742</v>
      </c>
      <c r="K251" s="16"/>
      <c r="L251" s="16"/>
      <c r="M251" s="14"/>
      <c r="N251" s="17"/>
      <c r="O251" s="14"/>
      <c r="P251" s="16"/>
      <c r="Q251" s="16"/>
      <c r="R251" s="16"/>
    </row>
    <row r="252" spans="2:18" x14ac:dyDescent="0.35">
      <c r="B252" s="14" t="s">
        <v>32</v>
      </c>
      <c r="C252" s="16"/>
      <c r="D252" s="16"/>
      <c r="E252" s="17">
        <v>73782</v>
      </c>
      <c r="F252" s="16"/>
      <c r="G252" s="16"/>
      <c r="H252" s="16"/>
      <c r="I252" s="17"/>
      <c r="J252" s="14"/>
      <c r="K252" s="14"/>
      <c r="L252" s="16"/>
      <c r="M252" s="16"/>
      <c r="N252" s="14"/>
      <c r="O252" s="14"/>
      <c r="P252" s="16"/>
      <c r="Q252" s="16"/>
      <c r="R252" s="16"/>
    </row>
    <row r="253" spans="2:18" x14ac:dyDescent="0.35">
      <c r="B253" s="14" t="s">
        <v>45</v>
      </c>
      <c r="C253" s="16"/>
      <c r="D253" s="16"/>
      <c r="E253" s="14"/>
      <c r="F253" s="16"/>
      <c r="G253" s="16"/>
      <c r="H253" s="16"/>
      <c r="I253" s="16"/>
      <c r="J253" s="17"/>
      <c r="K253" s="14"/>
      <c r="L253" s="16"/>
      <c r="M253" s="17">
        <v>1034</v>
      </c>
      <c r="N253" s="17"/>
      <c r="O253" s="14"/>
      <c r="P253" s="16"/>
      <c r="Q253" s="16"/>
      <c r="R253" s="16"/>
    </row>
    <row r="255" spans="2:18" x14ac:dyDescent="0.35">
      <c r="B255">
        <v>12</v>
      </c>
      <c r="C255" s="14" t="s">
        <v>5</v>
      </c>
      <c r="D255" s="14" t="s">
        <v>17</v>
      </c>
      <c r="E255" s="14" t="s">
        <v>6</v>
      </c>
      <c r="F255" s="14" t="s">
        <v>19</v>
      </c>
      <c r="G255" s="14" t="s">
        <v>23</v>
      </c>
      <c r="H255" s="14" t="s">
        <v>24</v>
      </c>
      <c r="I255" t="s">
        <v>9</v>
      </c>
      <c r="J255" s="14" t="s">
        <v>10</v>
      </c>
      <c r="K255" s="14" t="s">
        <v>11</v>
      </c>
      <c r="L255" s="14" t="s">
        <v>34</v>
      </c>
      <c r="M255" s="14" t="s">
        <v>13</v>
      </c>
      <c r="N255" s="14" t="s">
        <v>14</v>
      </c>
      <c r="O255" s="14" t="s">
        <v>15</v>
      </c>
      <c r="P255" s="14" t="s">
        <v>42</v>
      </c>
      <c r="Q255" s="14" t="s">
        <v>43</v>
      </c>
      <c r="R255" s="14" t="s">
        <v>44</v>
      </c>
    </row>
    <row r="256" spans="2:18" x14ac:dyDescent="0.35">
      <c r="B256" s="14" t="s">
        <v>5</v>
      </c>
      <c r="C256" s="16"/>
      <c r="D256" s="16"/>
      <c r="E256" s="16"/>
      <c r="F256" s="17"/>
      <c r="G256" s="16"/>
      <c r="H256" s="17">
        <v>2070</v>
      </c>
      <c r="I256" s="16"/>
      <c r="J256" s="17"/>
      <c r="K256" s="17"/>
      <c r="L256" s="16"/>
      <c r="M256" s="16"/>
      <c r="N256" s="16"/>
      <c r="O256" s="16"/>
      <c r="P256" s="16"/>
      <c r="Q256" s="17">
        <v>135454</v>
      </c>
      <c r="R256" s="16"/>
    </row>
    <row r="257" spans="2:18" x14ac:dyDescent="0.35">
      <c r="B257" s="14" t="s">
        <v>17</v>
      </c>
      <c r="C257" s="16"/>
      <c r="D257" s="16"/>
      <c r="E257" s="16"/>
      <c r="F257" s="16"/>
      <c r="G257" s="17"/>
      <c r="H257" s="17"/>
      <c r="I257" s="16"/>
      <c r="J257" s="16"/>
      <c r="K257" s="16"/>
      <c r="L257" s="17"/>
      <c r="M257" s="16"/>
      <c r="N257" s="16"/>
      <c r="O257" s="16"/>
      <c r="P257" s="16"/>
      <c r="Q257" s="16"/>
      <c r="R257" s="17"/>
    </row>
    <row r="258" spans="2:18" x14ac:dyDescent="0.35">
      <c r="B258" s="14" t="s">
        <v>6</v>
      </c>
      <c r="C258" s="16"/>
      <c r="D258" s="16"/>
      <c r="E258" s="16"/>
      <c r="F258" s="16"/>
      <c r="G258" s="16"/>
      <c r="H258" s="16"/>
      <c r="I258" s="17"/>
      <c r="J258" s="16"/>
      <c r="K258" s="16"/>
      <c r="L258" s="16"/>
      <c r="M258" s="16"/>
      <c r="N258" s="17">
        <v>73782</v>
      </c>
      <c r="O258" s="16"/>
      <c r="P258" s="16"/>
      <c r="Q258" s="16"/>
      <c r="R258" s="16"/>
    </row>
    <row r="259" spans="2:18" x14ac:dyDescent="0.35">
      <c r="B259" s="14" t="s">
        <v>19</v>
      </c>
      <c r="C259" s="17"/>
      <c r="D259" s="16"/>
      <c r="E259" s="16"/>
      <c r="F259" s="16"/>
      <c r="G259" s="16"/>
      <c r="H259" s="17"/>
      <c r="I259" s="16"/>
      <c r="J259" s="16"/>
      <c r="K259" s="16"/>
      <c r="L259" s="16"/>
      <c r="M259" s="17"/>
      <c r="N259" s="16"/>
      <c r="O259" s="16"/>
      <c r="P259" s="16"/>
      <c r="Q259" s="16"/>
      <c r="R259" s="16"/>
    </row>
    <row r="260" spans="2:18" x14ac:dyDescent="0.35">
      <c r="B260" s="14" t="s">
        <v>23</v>
      </c>
      <c r="C260" s="16"/>
      <c r="D260" s="17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7">
        <v>148282</v>
      </c>
      <c r="P260" s="16"/>
      <c r="Q260" s="17"/>
      <c r="R260" s="17"/>
    </row>
    <row r="261" spans="2:18" x14ac:dyDescent="0.35">
      <c r="B261" s="14" t="s">
        <v>24</v>
      </c>
      <c r="C261" s="17"/>
      <c r="D261" s="17"/>
      <c r="E261" s="16"/>
      <c r="F261" s="17"/>
      <c r="G261" s="16"/>
      <c r="H261" s="16"/>
      <c r="I261" s="16"/>
      <c r="J261" s="16"/>
      <c r="K261" s="16"/>
      <c r="L261" s="17"/>
      <c r="M261" s="17"/>
      <c r="N261" s="16"/>
      <c r="O261" s="16"/>
      <c r="P261" s="20">
        <v>3104</v>
      </c>
      <c r="Q261" s="17"/>
      <c r="R261" s="16"/>
    </row>
    <row r="262" spans="2:18" x14ac:dyDescent="0.35">
      <c r="B262" s="14" t="s">
        <v>9</v>
      </c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</row>
    <row r="263" spans="2:18" x14ac:dyDescent="0.35">
      <c r="B263" s="14" t="s">
        <v>10</v>
      </c>
      <c r="C263" s="17">
        <v>137524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7"/>
      <c r="O263" s="16"/>
      <c r="P263" s="16"/>
      <c r="Q263" s="16"/>
      <c r="R263" s="16"/>
    </row>
    <row r="264" spans="2:18" x14ac:dyDescent="0.35">
      <c r="B264" s="14" t="s">
        <v>11</v>
      </c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7">
        <v>12828</v>
      </c>
      <c r="R264" s="16"/>
    </row>
    <row r="265" spans="2:18" x14ac:dyDescent="0.35">
      <c r="B265" s="14" t="s">
        <v>34</v>
      </c>
      <c r="C265" s="16"/>
      <c r="D265" s="17"/>
      <c r="E265" s="16"/>
      <c r="F265" s="16"/>
      <c r="G265" s="16"/>
      <c r="H265" s="17"/>
      <c r="I265" s="16"/>
      <c r="J265" s="16"/>
      <c r="K265" s="16"/>
      <c r="L265" s="16"/>
      <c r="M265" s="16"/>
      <c r="N265" s="16"/>
      <c r="O265" s="16"/>
      <c r="P265" s="16"/>
      <c r="Q265" s="16"/>
      <c r="R265" s="17"/>
    </row>
    <row r="266" spans="2:18" x14ac:dyDescent="0.35">
      <c r="B266" s="14" t="s">
        <v>13</v>
      </c>
      <c r="C266" s="16"/>
      <c r="D266" s="16"/>
      <c r="E266" s="16"/>
      <c r="F266" s="17"/>
      <c r="G266" s="16"/>
      <c r="H266" s="17">
        <v>1034</v>
      </c>
      <c r="I266" s="16"/>
      <c r="J266" s="16"/>
      <c r="K266" s="16"/>
      <c r="L266" s="16"/>
      <c r="M266" s="16"/>
      <c r="N266" s="16"/>
      <c r="O266" s="16"/>
      <c r="P266" s="16"/>
      <c r="Q266" s="16"/>
      <c r="R266" s="16"/>
    </row>
    <row r="267" spans="2:18" x14ac:dyDescent="0.35">
      <c r="B267" s="14" t="s">
        <v>14</v>
      </c>
      <c r="C267" s="16"/>
      <c r="D267" s="16"/>
      <c r="E267" s="17"/>
      <c r="F267" s="16"/>
      <c r="G267" s="16"/>
      <c r="H267" s="16"/>
      <c r="I267" s="16"/>
      <c r="J267" s="17">
        <v>73782</v>
      </c>
      <c r="K267" s="16"/>
      <c r="L267" s="16"/>
      <c r="M267" s="16"/>
      <c r="N267" s="16"/>
      <c r="O267" s="16"/>
      <c r="P267" s="16"/>
      <c r="Q267" s="16"/>
      <c r="R267" s="16"/>
    </row>
    <row r="268" spans="2:18" x14ac:dyDescent="0.35">
      <c r="B268" s="14" t="s">
        <v>15</v>
      </c>
      <c r="C268" s="16"/>
      <c r="D268" s="16"/>
      <c r="E268" s="16"/>
      <c r="F268" s="16"/>
      <c r="G268" s="17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</row>
    <row r="269" spans="2:18" x14ac:dyDescent="0.35">
      <c r="B269" s="14" t="s">
        <v>42</v>
      </c>
      <c r="C269" s="16"/>
      <c r="D269" s="16"/>
      <c r="E269" s="16"/>
      <c r="F269" s="16"/>
      <c r="G269" s="16"/>
      <c r="H269" s="20"/>
      <c r="I269" s="16"/>
      <c r="J269" s="16"/>
      <c r="K269" s="16"/>
      <c r="L269" s="16"/>
      <c r="M269" s="16"/>
      <c r="N269" s="16"/>
      <c r="O269" s="16"/>
      <c r="P269" s="16"/>
      <c r="Q269" s="16"/>
      <c r="R269" s="16"/>
    </row>
    <row r="270" spans="2:18" x14ac:dyDescent="0.35">
      <c r="B270" s="14" t="s">
        <v>43</v>
      </c>
      <c r="C270" s="17"/>
      <c r="D270" s="16"/>
      <c r="E270" s="16"/>
      <c r="F270" s="16"/>
      <c r="G270" s="17">
        <v>148282</v>
      </c>
      <c r="H270" s="17"/>
      <c r="I270" s="16"/>
      <c r="J270" s="16"/>
      <c r="K270" s="17"/>
      <c r="L270" s="16"/>
      <c r="M270" s="16"/>
      <c r="N270" s="16"/>
      <c r="O270" s="16"/>
      <c r="P270" s="16"/>
      <c r="Q270" s="16"/>
      <c r="R270" s="16"/>
    </row>
    <row r="271" spans="2:18" x14ac:dyDescent="0.35">
      <c r="B271" s="14" t="s">
        <v>44</v>
      </c>
      <c r="C271" s="16"/>
      <c r="D271" s="17"/>
      <c r="E271" s="16"/>
      <c r="F271" s="16"/>
      <c r="G271" s="17"/>
      <c r="H271" s="16"/>
      <c r="I271" s="16"/>
      <c r="J271" s="16"/>
      <c r="K271" s="16"/>
      <c r="L271" s="17"/>
      <c r="M271" s="16"/>
      <c r="N271" s="16"/>
      <c r="O271" s="16"/>
      <c r="P271" s="16"/>
      <c r="Q271" s="16"/>
      <c r="R271" s="16"/>
    </row>
    <row r="272" spans="2:18" x14ac:dyDescent="0.35">
      <c r="B272" s="14" t="s">
        <v>26</v>
      </c>
      <c r="C272" s="16"/>
      <c r="D272" s="16"/>
      <c r="E272" s="14"/>
      <c r="F272" s="16"/>
      <c r="G272" s="16"/>
      <c r="H272" s="16"/>
      <c r="I272" s="16"/>
      <c r="J272" s="14"/>
      <c r="K272" s="17">
        <v>12828</v>
      </c>
      <c r="L272" s="16"/>
      <c r="M272" s="14"/>
      <c r="N272" s="14"/>
      <c r="O272" s="14"/>
      <c r="P272" s="16"/>
      <c r="Q272" s="16"/>
      <c r="R272" s="16"/>
    </row>
    <row r="273" spans="2:18" x14ac:dyDescent="0.35">
      <c r="B273" s="14" t="s">
        <v>27</v>
      </c>
      <c r="C273" s="16"/>
      <c r="D273" s="16"/>
      <c r="E273" s="14"/>
      <c r="F273" s="16"/>
      <c r="G273" s="16"/>
      <c r="H273" s="16"/>
      <c r="I273" s="16"/>
      <c r="J273" s="14"/>
      <c r="K273" s="14"/>
      <c r="L273" s="16"/>
      <c r="M273" s="14"/>
      <c r="N273" s="14"/>
      <c r="O273" s="17">
        <v>597</v>
      </c>
      <c r="P273" s="16"/>
      <c r="Q273" s="16"/>
      <c r="R273" s="16"/>
    </row>
    <row r="274" spans="2:18" x14ac:dyDescent="0.35">
      <c r="B274" s="14" t="s">
        <v>29</v>
      </c>
      <c r="C274" s="16"/>
      <c r="D274" s="16"/>
      <c r="E274" s="17"/>
      <c r="F274" s="16"/>
      <c r="G274" s="16"/>
      <c r="H274" s="16"/>
      <c r="I274" s="17"/>
      <c r="J274" s="17">
        <v>63742</v>
      </c>
      <c r="K274" s="16"/>
      <c r="L274" s="16"/>
      <c r="M274" s="14"/>
      <c r="N274" s="17"/>
      <c r="O274" s="14"/>
      <c r="P274" s="16"/>
      <c r="Q274" s="16"/>
      <c r="R274" s="16"/>
    </row>
    <row r="275" spans="2:18" x14ac:dyDescent="0.35">
      <c r="B275" s="14" t="s">
        <v>32</v>
      </c>
      <c r="C275" s="16"/>
      <c r="D275" s="16"/>
      <c r="E275" s="17">
        <v>73782</v>
      </c>
      <c r="F275" s="16"/>
      <c r="G275" s="16"/>
      <c r="H275" s="16"/>
      <c r="I275" s="17"/>
      <c r="J275" s="14"/>
      <c r="K275" s="14"/>
      <c r="L275" s="16"/>
      <c r="M275" s="16"/>
      <c r="N275" s="14"/>
      <c r="O275" s="14"/>
      <c r="P275" s="16"/>
      <c r="Q275" s="16"/>
      <c r="R275" s="16"/>
    </row>
    <row r="276" spans="2:18" x14ac:dyDescent="0.35">
      <c r="B276" s="14" t="s">
        <v>45</v>
      </c>
      <c r="C276" s="16"/>
      <c r="D276" s="16"/>
      <c r="E276" s="14"/>
      <c r="F276" s="16"/>
      <c r="G276" s="16"/>
      <c r="H276" s="16"/>
      <c r="I276" s="16"/>
      <c r="J276" s="17"/>
      <c r="K276" s="14"/>
      <c r="L276" s="16"/>
      <c r="M276" s="17">
        <v>1034</v>
      </c>
      <c r="N276" s="17"/>
      <c r="O276" s="14"/>
      <c r="P276" s="16"/>
      <c r="Q276" s="16"/>
      <c r="R27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工作表1</vt:lpstr>
      <vt:lpstr>工作表2</vt:lpstr>
      <vt:lpstr>工作表3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siu</dc:creator>
  <cp:lastModifiedBy>stuart siu</cp:lastModifiedBy>
  <dcterms:created xsi:type="dcterms:W3CDTF">2017-01-16T12:50:16Z</dcterms:created>
  <dcterms:modified xsi:type="dcterms:W3CDTF">2017-01-17T10:26:37Z</dcterms:modified>
</cp:coreProperties>
</file>